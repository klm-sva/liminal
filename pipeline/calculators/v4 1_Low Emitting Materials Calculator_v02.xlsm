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autoCompressPictures="0" defaultThemeVersion="124226"/>
  <mc:AlternateContent xmlns:mc="http://schemas.openxmlformats.org/markup-compatibility/2006">
    <mc:Choice Requires="x15">
      <x15ac:absPath xmlns:x15ac="http://schemas.microsoft.com/office/spreadsheetml/2010/11/ac" url="https://usgbc.sharepoint.com/sites/GBCICertificationInternalTeam/Certification/LEED Commercial/v4 Streamlining Initiative/LEM Calculator Revisions/"/>
    </mc:Choice>
  </mc:AlternateContent>
  <xr:revisionPtr revIDLastSave="210" documentId="13_ncr:1_{842E1284-B1A7-4C8B-AE55-78BFA1412CA8}" xr6:coauthVersionLast="47" xr6:coauthVersionMax="47" xr10:uidLastSave="{C8A1BA0A-DF98-40F9-8E05-C474FEF13CDC}"/>
  <workbookProtection workbookAlgorithmName="SHA-512" workbookHashValue="FlOs2X/s1/3m02quwpaJIHCQDZ32xh7/0ew5RJGtTCi/DmkZ+2HGtz8Sx1y6eNNBNksx9Gi4z1Mt1EBK/h2CfA==" workbookSaltValue="4eolgEA1m0eWpnAckzneaA==" workbookSpinCount="100000" lockStructure="1"/>
  <bookViews>
    <workbookView xWindow="-120" yWindow="-120" windowWidth="29040" windowHeight="15720" tabRatio="704" xr2:uid="{00000000-000D-0000-FFFF-FFFF00000000}"/>
  </bookViews>
  <sheets>
    <sheet name="Instructions" sheetId="16" r:id="rId1"/>
    <sheet name="Paints and coatings" sheetId="17" r:id="rId2"/>
    <sheet name="Adhesives and sealants" sheetId="21" r:id="rId3"/>
    <sheet name="Flooring" sheetId="22" r:id="rId4"/>
    <sheet name="Wall panels" sheetId="18" r:id="rId5"/>
    <sheet name="Ceilings" sheetId="23" r:id="rId6"/>
    <sheet name="Insulation" sheetId="24" r:id="rId7"/>
    <sheet name="Furniture" sheetId="19" r:id="rId8"/>
    <sheet name="Composite wood" sheetId="20" r:id="rId9"/>
    <sheet name="Summary" sheetId="11" r:id="rId10"/>
    <sheet name="Lookups" sheetId="25" state="hidden" r:id="rId11"/>
  </sheets>
  <definedNames>
    <definedName name="_xlnm._FilterDatabase" localSheetId="2" hidden="1">'Adhesives and sealants'!$B$12:$F$50</definedName>
    <definedName name="_xlnm._FilterDatabase" localSheetId="5" hidden="1">Ceilings!$B$10:$F$41</definedName>
    <definedName name="_xlnm._FilterDatabase" localSheetId="3" hidden="1">Flooring!$B$10:$F$40</definedName>
    <definedName name="_xlnm._FilterDatabase" localSheetId="6" hidden="1">Insulation!$B$10:$F$41</definedName>
    <definedName name="_xlnm._FilterDatabase" localSheetId="1" hidden="1">'Paints and coatings'!$B$12:$F$48</definedName>
    <definedName name="_xlnm._FilterDatabase" localSheetId="4" hidden="1">'Wall panels'!$B$10:$F$41</definedName>
    <definedName name="_xleta.IFS" hidden="1" xlm="1">#NAME?</definedName>
    <definedName name="Canada">Instructions!$F$263:$F$315</definedName>
    <definedName name="Canadatb">Instructions!$F$263:$H$315</definedName>
    <definedName name="CARBSCM2007">Instructions!$F$170:$F$211</definedName>
    <definedName name="CARBSCMtb">Instructions!$F$170:$H$211</definedName>
    <definedName name="compwood">Instructions!#REF!</definedName>
    <definedName name="compWoodColH">Instructions!$J$326:$J$337</definedName>
    <definedName name="Decopaint">Instructions!$F$146:$F$169</definedName>
    <definedName name="Decotb">Instructions!$F$146:$H$169</definedName>
    <definedName name="emissions">Instructions!#REF!</definedName>
    <definedName name="emissions1">Instructions!#REF!</definedName>
    <definedName name="ExtVOClist">Instructions!#REF!</definedName>
    <definedName name="ExtVOCreg">Instructions!#REF!</definedName>
    <definedName name="furneval">Instructions!#REF!</definedName>
    <definedName name="GenEmissions">Instructions!$K$326:$K$328</definedName>
    <definedName name="HongKong">Instructions!$F$212:$F$262</definedName>
    <definedName name="HongKongtb">Instructions!$F$212:$H$262</definedName>
    <definedName name="manufacturerReportingList">tblManufacturerReporting[manufacturerReporting]</definedName>
    <definedName name="na">Instructions!$K$375</definedName>
    <definedName name="Opt1tb">Instructions!#REF!</definedName>
    <definedName name="option1">Instructions!#REF!</definedName>
    <definedName name="option2">Instructions!#REF!</definedName>
    <definedName name="option2a">Instructions!#REF!</definedName>
    <definedName name="_xlnm.Print_Area" localSheetId="0">Instructions!$A$1:$J$369</definedName>
    <definedName name="reportingTypeAdditionalInfoList">tblReportingTypes[reportingTypeAdditionalInfo]</definedName>
    <definedName name="reportingTypeCompliantList">tblReportingTypes[reportingTypeCompliant]</definedName>
    <definedName name="reportingTypeListsList">tblReportingTypes[reportingTypeLists]</definedName>
    <definedName name="reportingTypeOptionsList">tblReportingTypes[reportingTypeOptions]</definedName>
    <definedName name="rule1113">Instructions!$F$22:$F$79</definedName>
    <definedName name="rule1113tb">Instructions!$F$22:$H$79</definedName>
    <definedName name="rule1168">Instructions!$F$81:$F$145</definedName>
    <definedName name="rule1168tb">Instructions!$F$82:$H$145</definedName>
    <definedName name="STList">Instructions!$J$352:$J$358</definedName>
    <definedName name="STstart">Instructions!$K$351</definedName>
    <definedName name="thirdPartyCertificationList">tblThirdPartyCertification[thirdPartyCertification]</definedName>
    <definedName name="TVOC">Instructions!$L$326:$L$329</definedName>
    <definedName name="voc">Instructions!#REF!</definedName>
    <definedName name="voc_list">Instructions!#REF!</definedName>
    <definedName name="voc_list2">Instructions!$L$340</definedName>
    <definedName name="VOCemissionlist">Flooring!#REF!</definedName>
    <definedName name="VOClimit">Instructions!$L$334:$L$338</definedName>
    <definedName name="VOClist">Instructions!$K$334:$L$338</definedName>
    <definedName name="VOCList2">Instructions!$M$334:$N$338</definedName>
    <definedName name="VOCreg">Instructions!$K$334:$K$338</definedName>
    <definedName name="VOCreg2">Instructions!$M$334:$M$337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21" i="17" l="1"/>
  <c r="O21" i="17" a="1"/>
  <c r="O21" i="17" s="1"/>
  <c r="A23" i="21"/>
  <c r="O23" i="21" a="1"/>
  <c r="O23" i="21" s="1"/>
  <c r="W23" i="21"/>
  <c r="X23" i="21" s="1"/>
  <c r="Z23" i="21"/>
  <c r="AB23" i="21" s="1"/>
  <c r="AA23" i="21"/>
  <c r="O17" i="17" a="1"/>
  <c r="O17" i="17" s="1"/>
  <c r="O18" i="17" a="1"/>
  <c r="O18" i="17" s="1"/>
  <c r="O19" i="17" a="1"/>
  <c r="O19" i="17" s="1"/>
  <c r="O13" i="21" a="1"/>
  <c r="O13" i="21" s="1"/>
  <c r="O14" i="21" a="1"/>
  <c r="O14" i="21" s="1"/>
  <c r="O15" i="21" a="1"/>
  <c r="O15" i="21" s="1"/>
  <c r="O16" i="21" a="1"/>
  <c r="O16" i="21" s="1"/>
  <c r="O17" i="21" a="1"/>
  <c r="O17" i="21" s="1"/>
  <c r="O18" i="21" a="1"/>
  <c r="O18" i="21" s="1"/>
  <c r="O19" i="21" a="1"/>
  <c r="O19" i="21" s="1"/>
  <c r="O20" i="21" a="1"/>
  <c r="O20" i="21" s="1"/>
  <c r="O21" i="21" a="1"/>
  <c r="O21" i="21" s="1"/>
  <c r="O22" i="21" a="1"/>
  <c r="O22" i="21" s="1"/>
  <c r="O24" i="21" a="1"/>
  <c r="O24" i="21" s="1"/>
  <c r="O25" i="21" a="1"/>
  <c r="O25" i="21" s="1"/>
  <c r="O12" i="21" a="1"/>
  <c r="O12" i="21" s="1"/>
  <c r="S21" i="17" l="1"/>
  <c r="R21" i="17"/>
  <c r="S19" i="17"/>
  <c r="R19" i="17"/>
  <c r="S18" i="17"/>
  <c r="R18" i="17"/>
  <c r="S23" i="21"/>
  <c r="R23" i="21"/>
  <c r="S17" i="17"/>
  <c r="R17" i="17"/>
  <c r="S19" i="21"/>
  <c r="R19" i="21"/>
  <c r="R18" i="21"/>
  <c r="S18" i="21"/>
  <c r="R17" i="21"/>
  <c r="S17" i="21"/>
  <c r="R16" i="21"/>
  <c r="S16" i="21"/>
  <c r="S15" i="21"/>
  <c r="R15" i="21"/>
  <c r="R14" i="21"/>
  <c r="S14" i="21"/>
  <c r="S13" i="21"/>
  <c r="R13" i="21"/>
  <c r="S12" i="21"/>
  <c r="R12" i="21"/>
  <c r="A22" i="21"/>
  <c r="W22" i="21"/>
  <c r="X22" i="21" s="1"/>
  <c r="Z22" i="21"/>
  <c r="AA22" i="21"/>
  <c r="F29" i="24" a="1"/>
  <c r="F29" i="24" s="1"/>
  <c r="F25" i="24" a="1"/>
  <c r="F25" i="24" s="1"/>
  <c r="F29" i="23" a="1"/>
  <c r="F29" i="23" s="1"/>
  <c r="F25" i="23" a="1"/>
  <c r="F25" i="23" s="1"/>
  <c r="F29" i="18" a="1"/>
  <c r="F29" i="18" s="1"/>
  <c r="F25" i="18" a="1"/>
  <c r="F25" i="18" s="1"/>
  <c r="F28" i="22" a="1"/>
  <c r="F28" i="22" s="1"/>
  <c r="F24" i="22" a="1"/>
  <c r="F24" i="22" s="1"/>
  <c r="F33" i="17" a="1"/>
  <c r="F33" i="17" s="1"/>
  <c r="F35" i="21" a="1"/>
  <c r="F35" i="21" s="1"/>
  <c r="F29" i="21" a="1"/>
  <c r="F29" i="21" s="1"/>
  <c r="F35" i="17"/>
  <c r="F27" i="17" a="1"/>
  <c r="F27" i="17" s="1"/>
  <c r="F26" i="17"/>
  <c r="O13" i="17" a="1"/>
  <c r="O13" i="17" s="1"/>
  <c r="O14" i="17" a="1"/>
  <c r="O14" i="17" s="1"/>
  <c r="O15" i="17" a="1"/>
  <c r="O15" i="17" s="1"/>
  <c r="O16" i="17" a="1"/>
  <c r="O16" i="17" s="1"/>
  <c r="O20" i="17" a="1"/>
  <c r="O20" i="17" s="1"/>
  <c r="O22" i="17" a="1"/>
  <c r="O22" i="17" s="1"/>
  <c r="O23" i="17" a="1"/>
  <c r="O23" i="17" s="1"/>
  <c r="O12" i="17" a="1"/>
  <c r="O12" i="17" s="1"/>
  <c r="R20" i="17" l="1"/>
  <c r="S20" i="17"/>
  <c r="R23" i="17"/>
  <c r="S23" i="17"/>
  <c r="R22" i="17"/>
  <c r="S22" i="17"/>
  <c r="AB22" i="21"/>
  <c r="S16" i="17"/>
  <c r="R16" i="17"/>
  <c r="S15" i="17"/>
  <c r="R15" i="17"/>
  <c r="R22" i="21"/>
  <c r="S22" i="21"/>
  <c r="S12" i="17"/>
  <c r="S13" i="17"/>
  <c r="S14" i="17"/>
  <c r="E15" i="11" l="1"/>
  <c r="A14" i="19"/>
  <c r="H14" i="19"/>
  <c r="L14" i="19"/>
  <c r="M14" i="19" s="1"/>
  <c r="O14" i="19"/>
  <c r="P14" i="19"/>
  <c r="A15" i="19"/>
  <c r="H15" i="19"/>
  <c r="L15" i="19"/>
  <c r="M15" i="19" s="1"/>
  <c r="O15" i="19"/>
  <c r="P15" i="19"/>
  <c r="A16" i="19"/>
  <c r="H16" i="19"/>
  <c r="L16" i="19"/>
  <c r="M16" i="19" s="1"/>
  <c r="O16" i="19"/>
  <c r="P16" i="19"/>
  <c r="A17" i="19"/>
  <c r="H17" i="19"/>
  <c r="L17" i="19"/>
  <c r="M17" i="19" s="1"/>
  <c r="O17" i="19"/>
  <c r="P17" i="19"/>
  <c r="A18" i="19"/>
  <c r="H18" i="19"/>
  <c r="L18" i="19"/>
  <c r="M18" i="19" s="1"/>
  <c r="O18" i="19"/>
  <c r="P18" i="19"/>
  <c r="A19" i="17"/>
  <c r="A20" i="17"/>
  <c r="Q17" i="19" l="1"/>
  <c r="Q15" i="19"/>
  <c r="Q18" i="19"/>
  <c r="Q14" i="19"/>
  <c r="Q16" i="19"/>
  <c r="E16" i="11"/>
  <c r="F29" i="20" l="1"/>
  <c r="F25" i="20"/>
  <c r="E23" i="19"/>
  <c r="F34" i="21"/>
  <c r="F32" i="17"/>
  <c r="F28" i="21"/>
  <c r="F36" i="17" l="1"/>
  <c r="F34" i="17"/>
  <c r="F30" i="21"/>
  <c r="F36" i="21"/>
  <c r="F28" i="17"/>
  <c r="S20" i="21" l="1"/>
  <c r="S21" i="21"/>
  <c r="S24" i="21"/>
  <c r="S25" i="21"/>
  <c r="R20" i="21" l="1"/>
  <c r="R25" i="21"/>
  <c r="R24" i="21"/>
  <c r="R21" i="21"/>
  <c r="C110" i="11" l="1"/>
  <c r="C109" i="11"/>
  <c r="C92" i="11"/>
  <c r="C91" i="11"/>
  <c r="C81" i="11"/>
  <c r="C80" i="11"/>
  <c r="C71" i="11"/>
  <c r="C70" i="11"/>
  <c r="C61" i="11"/>
  <c r="C60" i="11"/>
  <c r="C49" i="11"/>
  <c r="C47" i="11"/>
  <c r="C46" i="11"/>
  <c r="C34" i="11"/>
  <c r="C32" i="11"/>
  <c r="C31" i="11"/>
  <c r="B29" i="20"/>
  <c r="B28" i="20"/>
  <c r="B29" i="24"/>
  <c r="B28" i="24"/>
  <c r="B29" i="23"/>
  <c r="B28" i="23"/>
  <c r="B29" i="18"/>
  <c r="B28" i="18"/>
  <c r="B28" i="22"/>
  <c r="B27" i="22"/>
  <c r="F8" i="20"/>
  <c r="F8" i="24"/>
  <c r="F8" i="23"/>
  <c r="F8" i="18"/>
  <c r="F8" i="22"/>
  <c r="F9" i="21"/>
  <c r="B35" i="17"/>
  <c r="B33" i="17"/>
  <c r="B32" i="17"/>
  <c r="B37" i="21"/>
  <c r="B35" i="21"/>
  <c r="B34" i="21"/>
  <c r="F9" i="17"/>
  <c r="H9" i="19" l="1"/>
  <c r="H10" i="19"/>
  <c r="H11" i="19"/>
  <c r="H12" i="19"/>
  <c r="H13" i="19"/>
  <c r="H19" i="19"/>
  <c r="H20" i="19"/>
  <c r="E24" i="19" l="1"/>
  <c r="E18" i="11"/>
  <c r="E14" i="11"/>
  <c r="E13" i="11"/>
  <c r="E12" i="11"/>
  <c r="E11" i="11"/>
  <c r="E9" i="11"/>
  <c r="E8" i="11"/>
  <c r="G110" i="11"/>
  <c r="F28" i="20"/>
  <c r="G109" i="11" s="1"/>
  <c r="G106" i="11"/>
  <c r="F24" i="20"/>
  <c r="G105" i="11" s="1"/>
  <c r="G92" i="11"/>
  <c r="F28" i="24"/>
  <c r="G91" i="11" s="1"/>
  <c r="F24" i="24"/>
  <c r="G87" i="11" s="1"/>
  <c r="G88" i="11"/>
  <c r="G81" i="11"/>
  <c r="F28" i="23"/>
  <c r="G80" i="11" s="1"/>
  <c r="G77" i="11"/>
  <c r="F24" i="23"/>
  <c r="G76" i="11" s="1"/>
  <c r="G71" i="11"/>
  <c r="F28" i="18"/>
  <c r="G70" i="11" s="1"/>
  <c r="G67" i="11"/>
  <c r="F24" i="18"/>
  <c r="G66" i="11" s="1"/>
  <c r="F23" i="22"/>
  <c r="F25" i="22" s="1"/>
  <c r="G61" i="11"/>
  <c r="F27" i="22"/>
  <c r="G60" i="11" s="1"/>
  <c r="F30" i="20" l="1"/>
  <c r="F26" i="20"/>
  <c r="F26" i="24"/>
  <c r="F30" i="24"/>
  <c r="F30" i="23"/>
  <c r="F26" i="23"/>
  <c r="F30" i="18"/>
  <c r="F26" i="18"/>
  <c r="F29" i="22"/>
  <c r="G93" i="11" l="1"/>
  <c r="G89" i="11"/>
  <c r="D16" i="11" s="1"/>
  <c r="R21" i="24"/>
  <c r="Q21" i="24"/>
  <c r="N21" i="24"/>
  <c r="O21" i="24" s="1"/>
  <c r="R20" i="24"/>
  <c r="Q20" i="24"/>
  <c r="N20" i="24"/>
  <c r="O20" i="24" s="1"/>
  <c r="R19" i="24"/>
  <c r="Q19" i="24"/>
  <c r="N19" i="24"/>
  <c r="O19" i="24" s="1"/>
  <c r="A19" i="24"/>
  <c r="R18" i="24"/>
  <c r="Q18" i="24"/>
  <c r="N18" i="24"/>
  <c r="O18" i="24" s="1"/>
  <c r="A18" i="24"/>
  <c r="R17" i="24"/>
  <c r="Q17" i="24"/>
  <c r="N17" i="24"/>
  <c r="O17" i="24" s="1"/>
  <c r="A17" i="24"/>
  <c r="R16" i="24"/>
  <c r="Q16" i="24"/>
  <c r="N16" i="24"/>
  <c r="O16" i="24" s="1"/>
  <c r="A16" i="24"/>
  <c r="R15" i="24"/>
  <c r="Q15" i="24"/>
  <c r="N15" i="24"/>
  <c r="O15" i="24" s="1"/>
  <c r="A15" i="24"/>
  <c r="R14" i="24"/>
  <c r="Q14" i="24"/>
  <c r="N14" i="24"/>
  <c r="O14" i="24" s="1"/>
  <c r="A14" i="24"/>
  <c r="R13" i="24"/>
  <c r="Q13" i="24"/>
  <c r="N13" i="24"/>
  <c r="O13" i="24" s="1"/>
  <c r="A13" i="24"/>
  <c r="R12" i="24"/>
  <c r="Q12" i="24"/>
  <c r="N12" i="24"/>
  <c r="O12" i="24" s="1"/>
  <c r="A12" i="24"/>
  <c r="R11" i="24"/>
  <c r="Q11" i="24"/>
  <c r="N11" i="24"/>
  <c r="O11" i="24" s="1"/>
  <c r="A11" i="24"/>
  <c r="R10" i="24"/>
  <c r="Q10" i="24"/>
  <c r="N10" i="24"/>
  <c r="O10" i="24" s="1"/>
  <c r="A10" i="24"/>
  <c r="G82" i="11"/>
  <c r="G78" i="11"/>
  <c r="R21" i="23"/>
  <c r="Q21" i="23"/>
  <c r="N21" i="23"/>
  <c r="O21" i="23" s="1"/>
  <c r="R20" i="23"/>
  <c r="Q20" i="23"/>
  <c r="N20" i="23"/>
  <c r="O20" i="23" s="1"/>
  <c r="R19" i="23"/>
  <c r="Q19" i="23"/>
  <c r="N19" i="23"/>
  <c r="O19" i="23" s="1"/>
  <c r="A19" i="23"/>
  <c r="R18" i="23"/>
  <c r="Q18" i="23"/>
  <c r="N18" i="23"/>
  <c r="O18" i="23" s="1"/>
  <c r="A18" i="23"/>
  <c r="R17" i="23"/>
  <c r="Q17" i="23"/>
  <c r="N17" i="23"/>
  <c r="O17" i="23" s="1"/>
  <c r="A17" i="23"/>
  <c r="R16" i="23"/>
  <c r="Q16" i="23"/>
  <c r="N16" i="23"/>
  <c r="O16" i="23" s="1"/>
  <c r="A16" i="23"/>
  <c r="R15" i="23"/>
  <c r="Q15" i="23"/>
  <c r="N15" i="23"/>
  <c r="O15" i="23" s="1"/>
  <c r="A15" i="23"/>
  <c r="R14" i="23"/>
  <c r="Q14" i="23"/>
  <c r="N14" i="23"/>
  <c r="O14" i="23" s="1"/>
  <c r="A14" i="23"/>
  <c r="R13" i="23"/>
  <c r="Q13" i="23"/>
  <c r="N13" i="23"/>
  <c r="O13" i="23" s="1"/>
  <c r="A13" i="23"/>
  <c r="R12" i="23"/>
  <c r="Q12" i="23"/>
  <c r="N12" i="23"/>
  <c r="O12" i="23" s="1"/>
  <c r="A12" i="23"/>
  <c r="R11" i="23"/>
  <c r="Q11" i="23"/>
  <c r="N11" i="23"/>
  <c r="O11" i="23" s="1"/>
  <c r="A11" i="23"/>
  <c r="R10" i="23"/>
  <c r="Q10" i="23"/>
  <c r="N10" i="23"/>
  <c r="O10" i="23" s="1"/>
  <c r="A10" i="23"/>
  <c r="G62" i="11"/>
  <c r="G57" i="11"/>
  <c r="G56" i="11"/>
  <c r="R20" i="22"/>
  <c r="Q20" i="22"/>
  <c r="N20" i="22"/>
  <c r="O20" i="22" s="1"/>
  <c r="R19" i="22"/>
  <c r="Q19" i="22"/>
  <c r="N19" i="22"/>
  <c r="O19" i="22" s="1"/>
  <c r="R18" i="22"/>
  <c r="Q18" i="22"/>
  <c r="N18" i="22"/>
  <c r="O18" i="22" s="1"/>
  <c r="A18" i="22"/>
  <c r="R17" i="22"/>
  <c r="Q17" i="22"/>
  <c r="N17" i="22"/>
  <c r="O17" i="22" s="1"/>
  <c r="A17" i="22"/>
  <c r="R16" i="22"/>
  <c r="Q16" i="22"/>
  <c r="N16" i="22"/>
  <c r="O16" i="22" s="1"/>
  <c r="A16" i="22"/>
  <c r="R15" i="22"/>
  <c r="Q15" i="22"/>
  <c r="N15" i="22"/>
  <c r="O15" i="22" s="1"/>
  <c r="A15" i="22"/>
  <c r="R14" i="22"/>
  <c r="Q14" i="22"/>
  <c r="N14" i="22"/>
  <c r="O14" i="22" s="1"/>
  <c r="A14" i="22"/>
  <c r="R13" i="22"/>
  <c r="Q13" i="22"/>
  <c r="N13" i="22"/>
  <c r="O13" i="22" s="1"/>
  <c r="A13" i="22"/>
  <c r="R12" i="22"/>
  <c r="Q12" i="22"/>
  <c r="N12" i="22"/>
  <c r="O12" i="22" s="1"/>
  <c r="A12" i="22"/>
  <c r="R11" i="22"/>
  <c r="Q11" i="22"/>
  <c r="N11" i="22"/>
  <c r="O11" i="22" s="1"/>
  <c r="A11" i="22"/>
  <c r="R10" i="22"/>
  <c r="Q10" i="22"/>
  <c r="N10" i="22"/>
  <c r="O10" i="22" s="1"/>
  <c r="A10" i="22"/>
  <c r="G47" i="11"/>
  <c r="G46" i="11"/>
  <c r="G41" i="11"/>
  <c r="G40" i="11"/>
  <c r="AA25" i="21"/>
  <c r="Z25" i="21"/>
  <c r="W25" i="21"/>
  <c r="X25" i="21" s="1"/>
  <c r="AA24" i="21"/>
  <c r="Z24" i="21"/>
  <c r="W24" i="21"/>
  <c r="X24" i="21" s="1"/>
  <c r="AA21" i="21"/>
  <c r="Z21" i="21"/>
  <c r="W21" i="21"/>
  <c r="X21" i="21" s="1"/>
  <c r="A21" i="21"/>
  <c r="AA20" i="21"/>
  <c r="Z20" i="21"/>
  <c r="W20" i="21"/>
  <c r="X20" i="21" s="1"/>
  <c r="A20" i="21"/>
  <c r="AA19" i="21"/>
  <c r="Z19" i="21"/>
  <c r="W19" i="21"/>
  <c r="X19" i="21" s="1"/>
  <c r="A19" i="21"/>
  <c r="AA18" i="21"/>
  <c r="Z18" i="21"/>
  <c r="W18" i="21"/>
  <c r="X18" i="21" s="1"/>
  <c r="A18" i="21"/>
  <c r="AA17" i="21"/>
  <c r="Z17" i="21"/>
  <c r="W17" i="21"/>
  <c r="X17" i="21" s="1"/>
  <c r="A17" i="21"/>
  <c r="AA16" i="21"/>
  <c r="Z16" i="21"/>
  <c r="W16" i="21"/>
  <c r="X16" i="21" s="1"/>
  <c r="A16" i="21"/>
  <c r="AA15" i="21"/>
  <c r="Z15" i="21"/>
  <c r="W15" i="21"/>
  <c r="X15" i="21" s="1"/>
  <c r="A15" i="21"/>
  <c r="AA14" i="21"/>
  <c r="Z14" i="21"/>
  <c r="W14" i="21"/>
  <c r="X14" i="21" s="1"/>
  <c r="A14" i="21"/>
  <c r="AA13" i="21"/>
  <c r="Z13" i="21"/>
  <c r="W13" i="21"/>
  <c r="X13" i="21" s="1"/>
  <c r="A13" i="21"/>
  <c r="AA12" i="21"/>
  <c r="Z12" i="21"/>
  <c r="W12" i="21"/>
  <c r="X12" i="21" s="1"/>
  <c r="A12" i="21"/>
  <c r="G32" i="11"/>
  <c r="G26" i="11"/>
  <c r="D15" i="11" l="1"/>
  <c r="H15" i="11" s="1"/>
  <c r="S13" i="23"/>
  <c r="S19" i="23"/>
  <c r="AB24" i="21"/>
  <c r="S10" i="23"/>
  <c r="S11" i="23"/>
  <c r="AB13" i="21"/>
  <c r="AB15" i="21"/>
  <c r="H16" i="11"/>
  <c r="G16" i="11"/>
  <c r="S10" i="24"/>
  <c r="S11" i="24"/>
  <c r="S14" i="24"/>
  <c r="S15" i="24"/>
  <c r="S16" i="24"/>
  <c r="S17" i="24"/>
  <c r="S18" i="24"/>
  <c r="S19" i="24"/>
  <c r="S14" i="23"/>
  <c r="S15" i="23"/>
  <c r="S16" i="23"/>
  <c r="S17" i="23"/>
  <c r="S18" i="23"/>
  <c r="AB19" i="21"/>
  <c r="AB14" i="21"/>
  <c r="AB16" i="21"/>
  <c r="AB25" i="21"/>
  <c r="S19" i="22"/>
  <c r="S10" i="22"/>
  <c r="S12" i="22"/>
  <c r="S15" i="22"/>
  <c r="S14" i="22"/>
  <c r="S20" i="22"/>
  <c r="S18" i="22"/>
  <c r="S13" i="24"/>
  <c r="G58" i="11"/>
  <c r="D13" i="11" s="1"/>
  <c r="G42" i="11"/>
  <c r="AB12" i="21"/>
  <c r="AB18" i="21"/>
  <c r="AB21" i="21"/>
  <c r="G48" i="11"/>
  <c r="S16" i="22"/>
  <c r="S17" i="22"/>
  <c r="S21" i="23"/>
  <c r="S21" i="24"/>
  <c r="AB17" i="21"/>
  <c r="S11" i="22"/>
  <c r="AB20" i="21"/>
  <c r="S13" i="22"/>
  <c r="S12" i="23"/>
  <c r="S20" i="23"/>
  <c r="S12" i="24"/>
  <c r="S20" i="24"/>
  <c r="G111" i="11"/>
  <c r="D18" i="11" s="1"/>
  <c r="G107" i="11"/>
  <c r="G99" i="11"/>
  <c r="G98" i="11"/>
  <c r="G31" i="11"/>
  <c r="G25" i="11"/>
  <c r="D11" i="11" l="1"/>
  <c r="G15" i="11"/>
  <c r="H13" i="11"/>
  <c r="G13" i="11"/>
  <c r="H18" i="11"/>
  <c r="G18" i="11"/>
  <c r="S27" i="21"/>
  <c r="S28" i="21"/>
  <c r="E25" i="19"/>
  <c r="G100" i="11" s="1"/>
  <c r="D17" i="11" s="1"/>
  <c r="H17" i="11" s="1"/>
  <c r="G72" i="11"/>
  <c r="G33" i="11"/>
  <c r="G27" i="11"/>
  <c r="G68" i="11"/>
  <c r="D8" i="11" l="1"/>
  <c r="D14" i="11"/>
  <c r="H14" i="11" s="1"/>
  <c r="S29" i="21"/>
  <c r="P21" i="20"/>
  <c r="O21" i="20"/>
  <c r="L21" i="20"/>
  <c r="M21" i="20" s="1"/>
  <c r="P20" i="20"/>
  <c r="O20" i="20"/>
  <c r="L20" i="20"/>
  <c r="M20" i="20" s="1"/>
  <c r="P19" i="20"/>
  <c r="O19" i="20"/>
  <c r="L19" i="20"/>
  <c r="M19" i="20" s="1"/>
  <c r="A19" i="20"/>
  <c r="P18" i="20"/>
  <c r="O18" i="20"/>
  <c r="L18" i="20"/>
  <c r="M18" i="20" s="1"/>
  <c r="A18" i="20"/>
  <c r="P17" i="20"/>
  <c r="O17" i="20"/>
  <c r="L17" i="20"/>
  <c r="M17" i="20" s="1"/>
  <c r="A17" i="20"/>
  <c r="P16" i="20"/>
  <c r="O16" i="20"/>
  <c r="L16" i="20"/>
  <c r="M16" i="20" s="1"/>
  <c r="A16" i="20"/>
  <c r="P15" i="20"/>
  <c r="O15" i="20"/>
  <c r="L15" i="20"/>
  <c r="M15" i="20" s="1"/>
  <c r="A15" i="20"/>
  <c r="P14" i="20"/>
  <c r="O14" i="20"/>
  <c r="L14" i="20"/>
  <c r="M14" i="20" s="1"/>
  <c r="A14" i="20"/>
  <c r="P13" i="20"/>
  <c r="O13" i="20"/>
  <c r="L13" i="20"/>
  <c r="M13" i="20" s="1"/>
  <c r="A13" i="20"/>
  <c r="P12" i="20"/>
  <c r="O12" i="20"/>
  <c r="L12" i="20"/>
  <c r="M12" i="20" s="1"/>
  <c r="A12" i="20"/>
  <c r="P11" i="20"/>
  <c r="O11" i="20"/>
  <c r="L11" i="20"/>
  <c r="M11" i="20" s="1"/>
  <c r="A11" i="20"/>
  <c r="P10" i="20"/>
  <c r="O10" i="20"/>
  <c r="L10" i="20"/>
  <c r="M10" i="20" s="1"/>
  <c r="A10" i="20"/>
  <c r="P20" i="19"/>
  <c r="O20" i="19"/>
  <c r="L20" i="19"/>
  <c r="M20" i="19" s="1"/>
  <c r="P19" i="19"/>
  <c r="O19" i="19"/>
  <c r="L19" i="19"/>
  <c r="M19" i="19" s="1"/>
  <c r="P13" i="19"/>
  <c r="O13" i="19"/>
  <c r="L13" i="19"/>
  <c r="M13" i="19" s="1"/>
  <c r="A13" i="19"/>
  <c r="P12" i="19"/>
  <c r="O12" i="19"/>
  <c r="L12" i="19"/>
  <c r="M12" i="19" s="1"/>
  <c r="A12" i="19"/>
  <c r="P11" i="19"/>
  <c r="O11" i="19"/>
  <c r="L11" i="19"/>
  <c r="M11" i="19" s="1"/>
  <c r="A11" i="19"/>
  <c r="P10" i="19"/>
  <c r="O10" i="19"/>
  <c r="L10" i="19"/>
  <c r="M10" i="19" s="1"/>
  <c r="A10" i="19"/>
  <c r="P9" i="19"/>
  <c r="O9" i="19"/>
  <c r="L9" i="19"/>
  <c r="M9" i="19" s="1"/>
  <c r="A9" i="19"/>
  <c r="G17" i="11"/>
  <c r="G14" i="11" l="1"/>
  <c r="Q11" i="20"/>
  <c r="Q12" i="20"/>
  <c r="Q13" i="20"/>
  <c r="Q14" i="20"/>
  <c r="Q15" i="20"/>
  <c r="Q16" i="20"/>
  <c r="Q19" i="20"/>
  <c r="F31" i="21"/>
  <c r="F32" i="21" s="1"/>
  <c r="F37" i="21"/>
  <c r="F40" i="21"/>
  <c r="G52" i="11" s="1"/>
  <c r="Q20" i="20"/>
  <c r="Q21" i="20"/>
  <c r="Q10" i="20"/>
  <c r="Q18" i="20"/>
  <c r="Q20" i="19"/>
  <c r="Q17" i="20"/>
  <c r="Q10" i="19"/>
  <c r="Q19" i="19"/>
  <c r="Q11" i="19"/>
  <c r="Q9" i="19"/>
  <c r="Q12" i="19"/>
  <c r="Q13" i="19"/>
  <c r="G43" i="11" l="1"/>
  <c r="F38" i="21"/>
  <c r="G49" i="11"/>
  <c r="R21" i="18"/>
  <c r="Q21" i="18"/>
  <c r="N21" i="18"/>
  <c r="O21" i="18" s="1"/>
  <c r="R20" i="18"/>
  <c r="Q20" i="18"/>
  <c r="N20" i="18"/>
  <c r="O20" i="18" s="1"/>
  <c r="R19" i="18"/>
  <c r="Q19" i="18"/>
  <c r="N19" i="18"/>
  <c r="O19" i="18" s="1"/>
  <c r="A19" i="18"/>
  <c r="R18" i="18"/>
  <c r="Q18" i="18"/>
  <c r="N18" i="18"/>
  <c r="O18" i="18" s="1"/>
  <c r="A18" i="18"/>
  <c r="R17" i="18"/>
  <c r="Q17" i="18"/>
  <c r="N17" i="18"/>
  <c r="O17" i="18" s="1"/>
  <c r="A17" i="18"/>
  <c r="R16" i="18"/>
  <c r="Q16" i="18"/>
  <c r="N16" i="18"/>
  <c r="O16" i="18" s="1"/>
  <c r="A16" i="18"/>
  <c r="R15" i="18"/>
  <c r="Q15" i="18"/>
  <c r="N15" i="18"/>
  <c r="O15" i="18" s="1"/>
  <c r="A15" i="18"/>
  <c r="R14" i="18"/>
  <c r="Q14" i="18"/>
  <c r="N14" i="18"/>
  <c r="O14" i="18" s="1"/>
  <c r="A14" i="18"/>
  <c r="R13" i="18"/>
  <c r="Q13" i="18"/>
  <c r="N13" i="18"/>
  <c r="O13" i="18" s="1"/>
  <c r="A13" i="18"/>
  <c r="R12" i="18"/>
  <c r="Q12" i="18"/>
  <c r="N12" i="18"/>
  <c r="O12" i="18" s="1"/>
  <c r="A12" i="18"/>
  <c r="R11" i="18"/>
  <c r="Q11" i="18"/>
  <c r="N11" i="18"/>
  <c r="O11" i="18" s="1"/>
  <c r="A11" i="18"/>
  <c r="R10" i="18"/>
  <c r="Q10" i="18"/>
  <c r="N10" i="18"/>
  <c r="O10" i="18" s="1"/>
  <c r="A10" i="18"/>
  <c r="A18" i="17"/>
  <c r="A17" i="17"/>
  <c r="A16" i="17"/>
  <c r="A15" i="17"/>
  <c r="A14" i="17"/>
  <c r="A13" i="17"/>
  <c r="A12" i="17"/>
  <c r="S11" i="18" l="1"/>
  <c r="S13" i="18"/>
  <c r="S15" i="18"/>
  <c r="R12" i="17"/>
  <c r="R14" i="17"/>
  <c r="R13" i="17"/>
  <c r="S21" i="18"/>
  <c r="S10" i="18"/>
  <c r="S14" i="18"/>
  <c r="S16" i="18"/>
  <c r="S12" i="18"/>
  <c r="S19" i="18"/>
  <c r="S20" i="18"/>
  <c r="S17" i="18"/>
  <c r="S18" i="18"/>
  <c r="S25" i="17" l="1"/>
  <c r="S26" i="17"/>
  <c r="S27" i="17" l="1"/>
  <c r="F29" i="17" l="1"/>
  <c r="F30" i="17" s="1"/>
  <c r="F38" i="17"/>
  <c r="G37" i="11" s="1"/>
  <c r="K319" i="16"/>
  <c r="G34" i="11" l="1"/>
  <c r="G28" i="11"/>
  <c r="G50" i="11" l="1"/>
  <c r="G29" i="11"/>
  <c r="D9" i="11" s="1"/>
  <c r="G7" i="11" s="1"/>
  <c r="G35" i="11"/>
  <c r="G44" i="11"/>
  <c r="D12" i="11" s="1"/>
  <c r="H10" i="11" l="1"/>
  <c r="G10" i="11"/>
  <c r="G20" i="11" s="1"/>
  <c r="H7" i="11"/>
  <c r="H20"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 macro</author>
    <author>Michael Marcello</author>
    <author>Jessica Gracie-Griffin</author>
  </authors>
  <commentList>
    <comment ref="B9" authorId="0" shapeId="0" xr:uid="{00000000-0006-0000-0100-000001000000}">
      <text>
        <r>
          <rPr>
            <sz val="9"/>
            <color indexed="81"/>
            <rFont val="Arial"/>
            <family val="2"/>
          </rPr>
          <t>use the manufacturer-given product name</t>
        </r>
      </text>
    </comment>
    <comment ref="J10" authorId="1" shapeId="0" xr:uid="{A6B81C7C-E700-4B97-B199-A45359678D37}">
      <text>
        <r>
          <rPr>
            <b/>
            <sz val="9"/>
            <color indexed="81"/>
            <rFont val="Tahoma"/>
            <family val="2"/>
          </rPr>
          <t>Date of product purchase must be within the certification period on a third-party certificate, and within the three years after a test date on a manufacturer claim / laboratory report.</t>
        </r>
      </text>
    </comment>
    <comment ref="K10" authorId="1" shapeId="0" xr:uid="{49A1AFA0-F0B7-4183-A30D-16D703AFDF27}">
      <text>
        <r>
          <rPr>
            <b/>
            <sz val="9"/>
            <color indexed="81"/>
            <rFont val="Tahoma"/>
            <family val="2"/>
          </rPr>
          <t>For manufacturer claims, assume three years from the test date.</t>
        </r>
      </text>
    </comment>
    <comment ref="M10" authorId="2" shapeId="0" xr:uid="{8C0574F7-C375-4A10-9B58-D79D61A30EC0}">
      <text>
        <r>
          <rPr>
            <b/>
            <sz val="9"/>
            <color indexed="81"/>
            <rFont val="Tahoma"/>
            <family val="2"/>
          </rPr>
          <t>National testing standards can be used to measure actual VOC content; however, the actual VOC content must be compared to the VOC content limit (in g/L) set by the California Air Resources Board (CARB) or SCAQMD Rule.</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new macro</author>
    <author>Michael Marcello</author>
    <author>Jessica Gracie-Griffin</author>
  </authors>
  <commentList>
    <comment ref="B9" authorId="0" shapeId="0" xr:uid="{00000000-0006-0000-0200-000001000000}">
      <text>
        <r>
          <rPr>
            <sz val="9"/>
            <color indexed="81"/>
            <rFont val="Arial"/>
            <family val="2"/>
          </rPr>
          <t>use the manufacturer-given product name</t>
        </r>
      </text>
    </comment>
    <comment ref="J10" authorId="1" shapeId="0" xr:uid="{0BACA8CE-8EE2-4A8F-BD17-21EE150B2F6E}">
      <text>
        <r>
          <rPr>
            <b/>
            <sz val="9"/>
            <color indexed="81"/>
            <rFont val="Tahoma"/>
            <family val="2"/>
          </rPr>
          <t>Date of product purchase must be within the certification period on a third-party certificate, and within the three years after a test date on a manufacturer claim / laboratory report.</t>
        </r>
      </text>
    </comment>
    <comment ref="K10" authorId="1" shapeId="0" xr:uid="{FB7B98DD-8CFE-4AA7-8BF2-19BD99084AE0}">
      <text>
        <r>
          <rPr>
            <b/>
            <sz val="9"/>
            <color indexed="81"/>
            <rFont val="Tahoma"/>
            <family val="2"/>
          </rPr>
          <t>For manufacturer claims, assume three years from the test date.</t>
        </r>
      </text>
    </comment>
    <comment ref="M10" authorId="2" shapeId="0" xr:uid="{F7738C8F-1E04-41D3-B709-C9B791C5A9D2}">
      <text>
        <r>
          <rPr>
            <b/>
            <sz val="9"/>
            <color indexed="81"/>
            <rFont val="Tahoma"/>
            <family val="2"/>
          </rPr>
          <t>National testing standards can be used to measure actual VOC content; however, the actual VOC content must be compared to the VOC content limit (in g/L) set by the California Air Resources Board (CARB) or SCAQMD Rule.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new macro</author>
    <author>Michael Marcello</author>
  </authors>
  <commentList>
    <comment ref="B8" authorId="0" shapeId="0" xr:uid="{00000000-0006-0000-0300-000001000000}">
      <text>
        <r>
          <rPr>
            <sz val="9"/>
            <color indexed="81"/>
            <rFont val="Arial"/>
            <family val="2"/>
          </rPr>
          <t>use the manufacturer-given product name</t>
        </r>
      </text>
    </comment>
    <comment ref="I8" authorId="1" shapeId="0" xr:uid="{2AF4D7E5-9B3C-4483-B776-B7C430201FDC}">
      <text>
        <r>
          <rPr>
            <b/>
            <sz val="9"/>
            <color indexed="81"/>
            <rFont val="Tahoma"/>
            <family val="2"/>
          </rPr>
          <t>Date of product purchase must be within the certification period on a third-party certificate, and within the three years after a test date on a manufacturer claim / laboratory report.</t>
        </r>
      </text>
    </comment>
    <comment ref="J8" authorId="1" shapeId="0" xr:uid="{E28C05EC-3559-4BF7-B99D-0F767297A3AF}">
      <text>
        <r>
          <rPr>
            <b/>
            <sz val="9"/>
            <color indexed="81"/>
            <rFont val="Tahoma"/>
            <family val="2"/>
          </rPr>
          <t>For manufacturer claims, assume three years from the test date.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new macro</author>
    <author>Michael Marcello</author>
  </authors>
  <commentList>
    <comment ref="B8" authorId="0" shapeId="0" xr:uid="{00000000-0006-0000-0400-000001000000}">
      <text>
        <r>
          <rPr>
            <sz val="9"/>
            <color indexed="81"/>
            <rFont val="Arial"/>
            <family val="2"/>
          </rPr>
          <t>use the manufacturer-given product name</t>
        </r>
      </text>
    </comment>
    <comment ref="I8" authorId="1" shapeId="0" xr:uid="{DE2EA128-C833-4181-8744-74B0CA877D06}">
      <text>
        <r>
          <rPr>
            <b/>
            <sz val="9"/>
            <color indexed="81"/>
            <rFont val="Tahoma"/>
            <family val="2"/>
          </rPr>
          <t>Date of product purchase must be within the certification period on a third-party certificate, and within the three years after a test date on a manufacturer claim / laboratory report.</t>
        </r>
      </text>
    </comment>
    <comment ref="J8" authorId="1" shapeId="0" xr:uid="{12D50537-E399-4919-86E5-E8F678BA36F1}">
      <text>
        <r>
          <rPr>
            <b/>
            <sz val="9"/>
            <color indexed="81"/>
            <rFont val="Tahoma"/>
            <family val="2"/>
          </rPr>
          <t>For manufacturer claims, assume three years from the test date.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new macro</author>
    <author>Michael Marcello</author>
  </authors>
  <commentList>
    <comment ref="B8" authorId="0" shapeId="0" xr:uid="{00000000-0006-0000-0500-000001000000}">
      <text>
        <r>
          <rPr>
            <sz val="9"/>
            <color indexed="81"/>
            <rFont val="Arial"/>
            <family val="2"/>
          </rPr>
          <t>use the manufacturer-given product name</t>
        </r>
      </text>
    </comment>
    <comment ref="I8" authorId="1" shapeId="0" xr:uid="{375DB437-A5C7-4AEF-A72D-6A058863D01A}">
      <text>
        <r>
          <rPr>
            <b/>
            <sz val="9"/>
            <color indexed="81"/>
            <rFont val="Tahoma"/>
            <family val="2"/>
          </rPr>
          <t>Date of product purchase must be within the certification period on a third-party certificate, and within the three years after a test date on a manufacturer claim / laboratory report.</t>
        </r>
      </text>
    </comment>
    <comment ref="J8" authorId="1" shapeId="0" xr:uid="{89150A48-B7AF-45DE-A639-D9D050AC00FD}">
      <text>
        <r>
          <rPr>
            <b/>
            <sz val="9"/>
            <color indexed="81"/>
            <rFont val="Tahoma"/>
            <family val="2"/>
          </rPr>
          <t>For manufacturer claims, assume three years from the test date.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new macro</author>
    <author>Michael Marcello</author>
  </authors>
  <commentList>
    <comment ref="B8" authorId="0" shapeId="0" xr:uid="{00000000-0006-0000-0600-000001000000}">
      <text>
        <r>
          <rPr>
            <sz val="9"/>
            <color indexed="81"/>
            <rFont val="Arial"/>
            <family val="2"/>
          </rPr>
          <t>use the manufacturer-given product name</t>
        </r>
      </text>
    </comment>
    <comment ref="I8" authorId="1" shapeId="0" xr:uid="{07C56809-D0CF-4E92-B030-9E7311D6F179}">
      <text>
        <r>
          <rPr>
            <b/>
            <sz val="9"/>
            <color indexed="81"/>
            <rFont val="Tahoma"/>
            <family val="2"/>
          </rPr>
          <t>Date of product purchase must be within the certification period on a third-party certificate, and within the three years after a test date on a manufacturer claim / laboratory report.</t>
        </r>
      </text>
    </comment>
    <comment ref="J8" authorId="1" shapeId="0" xr:uid="{78A037D9-FB50-4BA5-8F55-1FD2F6E9464C}">
      <text>
        <r>
          <rPr>
            <b/>
            <sz val="9"/>
            <color indexed="81"/>
            <rFont val="Tahoma"/>
            <family val="2"/>
          </rPr>
          <t>For manufacturer claims, assume three years from the test date.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7" authorId="0" shapeId="0" xr:uid="{00000000-0006-0000-0700-000001000000}">
      <text>
        <r>
          <rPr>
            <sz val="9"/>
            <color indexed="81"/>
            <rFont val="Arial"/>
            <family val="2"/>
          </rPr>
          <t>use the manufacturer-given product name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800-000001000000}">
      <text>
        <r>
          <rPr>
            <sz val="9"/>
            <color indexed="81"/>
            <rFont val="Arial"/>
            <family val="2"/>
          </rPr>
          <t>use the manufacturer-given product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<sst xmlns="http://schemas.openxmlformats.org/spreadsheetml/2006/main" count="1043" uniqueCount="486">
  <si>
    <r>
      <rPr>
        <sz val="16"/>
        <rFont val="Arial Black"/>
        <family val="2"/>
      </rPr>
      <t>Low-Emitting Materials Calculator</t>
    </r>
    <r>
      <rPr>
        <sz val="14"/>
        <rFont val="Arial Black"/>
        <family val="2"/>
      </rPr>
      <t xml:space="preserve">
</t>
    </r>
    <r>
      <rPr>
        <sz val="9"/>
        <rFont val="Arial"/>
        <family val="2"/>
      </rPr>
      <t>LEED v4.1 EQ Credit Low-Emitting Materials</t>
    </r>
  </si>
  <si>
    <r>
      <rPr>
        <b/>
        <sz val="9"/>
        <rFont val="Arial"/>
        <family val="2"/>
      </rPr>
      <t>Step 1.</t>
    </r>
    <r>
      <rPr>
        <sz val="9"/>
        <rFont val="Arial"/>
        <family val="2"/>
      </rPr>
      <t xml:space="preserve"> </t>
    </r>
  </si>
  <si>
    <t>Enable macros.</t>
  </si>
  <si>
    <t>Note: This calculator is for use with Excel for Mac 2011 and Excel 2007 or later.</t>
  </si>
  <si>
    <r>
      <rPr>
        <b/>
        <sz val="9"/>
        <rFont val="Arial"/>
        <family val="2"/>
      </rPr>
      <t>Step 2.</t>
    </r>
    <r>
      <rPr>
        <sz val="9"/>
        <rFont val="Arial"/>
        <family val="2"/>
      </rPr>
      <t xml:space="preserve"> </t>
    </r>
  </si>
  <si>
    <t>1.  Select the unit of measurement</t>
  </si>
  <si>
    <t>IP units</t>
  </si>
  <si>
    <t>Note: This selection must match the unit of measurement chosen during project registration.</t>
  </si>
  <si>
    <t xml:space="preserve">2.  Complete the product category tabs for each product category being pursued. List all materials used on the  building interior (everything within the waterproofing membrane) that are included in the scope for the given product category. </t>
  </si>
  <si>
    <t>3. Complete the columns for each listed product.</t>
  </si>
  <si>
    <r>
      <rPr>
        <b/>
        <sz val="9"/>
        <rFont val="Arial"/>
        <family val="2"/>
      </rPr>
      <t>Step 3.</t>
    </r>
    <r>
      <rPr>
        <sz val="9"/>
        <rFont val="Arial"/>
        <family val="2"/>
      </rPr>
      <t xml:space="preserve"> </t>
    </r>
  </si>
  <si>
    <t>Upload the completed spreadsheet to LEED Online.  Complete any related summary fields in the LEED credit form with the results of the calculator.</t>
  </si>
  <si>
    <t>Assumptions</t>
  </si>
  <si>
    <t>Regulation</t>
  </si>
  <si>
    <t>Product Type</t>
  </si>
  <si>
    <t>Allowable 
VOC Content
(g/l)</t>
  </si>
  <si>
    <t>SCAQMD Rule 1113, 
effective February 5, 2016</t>
  </si>
  <si>
    <t>SCAQMD Rule 1113</t>
  </si>
  <si>
    <t>Bond breakers</t>
  </si>
  <si>
    <t>Building envelope coating</t>
  </si>
  <si>
    <t>Colorant - Architectural coatings, excluding IM coatings</t>
  </si>
  <si>
    <t>Colorant - Solvent-based IM</t>
  </si>
  <si>
    <t>Colorant - Waterborne IM</t>
  </si>
  <si>
    <t>Concrete - Curing compounds</t>
  </si>
  <si>
    <t>Concrete - Curing compounds for roadways and bridges</t>
  </si>
  <si>
    <t>Concrete surface retarder</t>
  </si>
  <si>
    <t>Driveway sealer</t>
  </si>
  <si>
    <t>Dry-fog coatings</t>
  </si>
  <si>
    <t>Faux finishing coatings - Clear topcoat</t>
  </si>
  <si>
    <t>Faux finishing coatings - Decorative coatings</t>
  </si>
  <si>
    <t>Faux finishing coatings - Glazes</t>
  </si>
  <si>
    <t xml:space="preserve">  </t>
  </si>
  <si>
    <t>Faux finishing coatings - Japan</t>
  </si>
  <si>
    <t>Faux finishing coatings - Trowel applied coatings</t>
  </si>
  <si>
    <t xml:space="preserve"> </t>
  </si>
  <si>
    <t>Fire-proofing coatings</t>
  </si>
  <si>
    <t>Flats</t>
  </si>
  <si>
    <t>Floor coatings</t>
  </si>
  <si>
    <t>Form release compound</t>
  </si>
  <si>
    <t>Graphic arts (sign) coatings</t>
  </si>
  <si>
    <t>Industrial maintenance coatings</t>
  </si>
  <si>
    <t>Industrial maintenance coatings - color indicating saftey coatings</t>
  </si>
  <si>
    <t>Industrial maintenance coatings - High temperature IM coatings</t>
  </si>
  <si>
    <t>Industrial maintenance coatings - Non-sacrificial anti-graffiti coatings</t>
  </si>
  <si>
    <t>Industrial maintenance coatings - Zinc-rich IM primers</t>
  </si>
  <si>
    <t>Magnesite cement coatings</t>
  </si>
  <si>
    <t>Mastic coatings</t>
  </si>
  <si>
    <t>Metallic pigmented coatings</t>
  </si>
  <si>
    <t>Multi-Color coatings</t>
  </si>
  <si>
    <t>Nonflat coatings</t>
  </si>
  <si>
    <t>Pre-treatment wash primers</t>
  </si>
  <si>
    <t>Primers, sealers, and undercoaters</t>
  </si>
  <si>
    <t>Reactive penetrating sealers</t>
  </si>
  <si>
    <t>Recycled coatings</t>
  </si>
  <si>
    <t>Roof coatings</t>
  </si>
  <si>
    <t>Roof coatings, aluminum</t>
  </si>
  <si>
    <t>Roof primers, bituminous</t>
  </si>
  <si>
    <t>Rust preventative coatings</t>
  </si>
  <si>
    <t>Sacrificial anti-graffiti coatings</t>
  </si>
  <si>
    <t>Shellac - Clear</t>
  </si>
  <si>
    <t>Shellac - Pigmented</t>
  </si>
  <si>
    <t>Specialty primers</t>
  </si>
  <si>
    <t>Stains</t>
  </si>
  <si>
    <t>Stains, interior</t>
  </si>
  <si>
    <t>Stone consolidants</t>
  </si>
  <si>
    <t>Swimming pool coatings - Repair</t>
  </si>
  <si>
    <t>Swimming pool coatings - Other</t>
  </si>
  <si>
    <t>Tile and stone sealers</t>
  </si>
  <si>
    <t>Traffic coatings</t>
  </si>
  <si>
    <t>Tub and tile refinish coatings</t>
  </si>
  <si>
    <t>Waterproofing sealers</t>
  </si>
  <si>
    <t>Waterproofing concrete/masonry sealers</t>
  </si>
  <si>
    <t>Wood coatings - varnish</t>
  </si>
  <si>
    <t>Wood coatings - sanding sealers</t>
  </si>
  <si>
    <t>Wood coatings - lacquer</t>
  </si>
  <si>
    <t>Wood conditioners</t>
  </si>
  <si>
    <t>Wood preservatives</t>
  </si>
  <si>
    <t>Low solids coatings</t>
  </si>
  <si>
    <t>SCAQMD Rule 1168,
effective date October 6, 2017</t>
  </si>
  <si>
    <t>Adhesives for Architectural Applications</t>
  </si>
  <si>
    <t>SCAQMD Rule 1168</t>
  </si>
  <si>
    <t>Building envelope membrane adhesive</t>
  </si>
  <si>
    <t>Carpet pad adhesives</t>
  </si>
  <si>
    <t>Ceramic glass, porcelain, &amp; stone tile adhesive</t>
  </si>
  <si>
    <t>Cove base adhesives</t>
  </si>
  <si>
    <t>Dry wall and panel adhesives</t>
  </si>
  <si>
    <t>Multi-purpose construction adhesives</t>
  </si>
  <si>
    <t>Roofing- sinlge ply roof membrane adhesive</t>
  </si>
  <si>
    <t>Roofing- all other roof adhesives</t>
  </si>
  <si>
    <t>Rubber floor adhesives</t>
  </si>
  <si>
    <t>Structural glazing adhesives</t>
  </si>
  <si>
    <t>Structural wood member adhesive</t>
  </si>
  <si>
    <t>Subfloor adhesive</t>
  </si>
  <si>
    <t>VCT and asphalt tile adhesives</t>
  </si>
  <si>
    <t>Wood flooring adhesive</t>
  </si>
  <si>
    <t>All other indoor floor covering adhesives</t>
  </si>
  <si>
    <t>All other outdoor floor covering adhesives</t>
  </si>
  <si>
    <t>Specialty Applications</t>
  </si>
  <si>
    <t>Computer diskette manufacturing adhesive</t>
  </si>
  <si>
    <t>Contact adhesive</t>
  </si>
  <si>
    <t>Edge glue adhesive</t>
  </si>
  <si>
    <t>ABS welding cement</t>
  </si>
  <si>
    <t>ABS to PVC transition cement</t>
  </si>
  <si>
    <t>CPVC welding cement</t>
  </si>
  <si>
    <t>PVC welding cement</t>
  </si>
  <si>
    <t>All other plastic cement welding cements</t>
  </si>
  <si>
    <t>Rubber Vulcanization Adhesive</t>
  </si>
  <si>
    <t>Special purpose contact adhesive</t>
  </si>
  <si>
    <t>Thin metal laminating adhesive</t>
  </si>
  <si>
    <t>Tire tread adhesive</t>
  </si>
  <si>
    <t>Top and trim adhesive</t>
  </si>
  <si>
    <t>Waterproof resorcinol glue</t>
  </si>
  <si>
    <t>All other adhesives</t>
  </si>
  <si>
    <t>Substrate Specific Applications</t>
  </si>
  <si>
    <t>Metal substrate-specific adhesives</t>
  </si>
  <si>
    <t>Plastic foam substrate-specific adhesives</t>
  </si>
  <si>
    <t>Porous material (except wood) substrate-specific adhesives</t>
  </si>
  <si>
    <t>Wood substrate-specific adhesives</t>
  </si>
  <si>
    <t>Fiberglass substrate-specific adhesives</t>
  </si>
  <si>
    <t>Reinforced plastic composite substrate-specific adhesives</t>
  </si>
  <si>
    <t>Sealants for Architectural Applications</t>
  </si>
  <si>
    <t>Clear, paintable, and immediately water-resistant sealant</t>
  </si>
  <si>
    <t>Foam insulation</t>
  </si>
  <si>
    <t>Grout</t>
  </si>
  <si>
    <t>Roadway sealant</t>
  </si>
  <si>
    <t>Non-staining plumbing putty</t>
  </si>
  <si>
    <t>Potable water sealant</t>
  </si>
  <si>
    <t>Roofing - single ply roof membrane selant</t>
  </si>
  <si>
    <t>Roofing - all other roof sealants</t>
  </si>
  <si>
    <t>All other architectural sealants</t>
  </si>
  <si>
    <t>Marine deck sealant</t>
  </si>
  <si>
    <t>All other sealants</t>
  </si>
  <si>
    <t>Adhesive Primers</t>
  </si>
  <si>
    <t>Plastic adhesive primers</t>
  </si>
  <si>
    <t>Pressure sensitive adhesive primers</t>
  </si>
  <si>
    <t>Traffic marking tape adhesive primers</t>
  </si>
  <si>
    <t>Vehicle glass adhesive primers</t>
  </si>
  <si>
    <t>All other adhesive primers</t>
  </si>
  <si>
    <t>Sealant Primers</t>
  </si>
  <si>
    <t>Architectural non-porous sealant primer</t>
  </si>
  <si>
    <t>Architectural porous sealant primer</t>
  </si>
  <si>
    <t>Modified bituminous sealant primer</t>
  </si>
  <si>
    <t>Marine deck sealant primer</t>
  </si>
  <si>
    <t>All other sealant primers</t>
  </si>
  <si>
    <t>Other</t>
  </si>
  <si>
    <t>Other adhesives, adhesive bonding primers, adhesive primers, or any other primers</t>
  </si>
  <si>
    <t>European Decopaint Directive (2004/42/EC)</t>
  </si>
  <si>
    <t>Interior matt walls and ceilings (Gloss &lt;25 at 60°) - WB</t>
  </si>
  <si>
    <t>Interior matt walls and ceilings (Gloss &lt;25 at 60°) - SB</t>
  </si>
  <si>
    <t>Interior glossy walls and ceilings (Gloss &gt;25 at 60°) - WB</t>
  </si>
  <si>
    <t>Interior glossy walls and ceilings (Gloss &gt;25 at 60°) - SB</t>
  </si>
  <si>
    <t>Exterior walls of mineral substrate - WB</t>
  </si>
  <si>
    <t>Exterior walls of mineral substrate - SB</t>
  </si>
  <si>
    <t>Interior/exterior trim and cladding paints for wood and metal - WB</t>
  </si>
  <si>
    <t>Interior/exterior trim and cladding paints for wood and metal - SB</t>
  </si>
  <si>
    <t>Interior/exterior trim varnishes and woodstains, including opaque woodstains - WB</t>
  </si>
  <si>
    <t>Interior/exterior trim varnishes and woodstains, including opaque woodstains - SB</t>
  </si>
  <si>
    <t>Interior and exterior minimal build woodstains - WB</t>
  </si>
  <si>
    <t>Interior and exterior minimal build woodstains - SB</t>
  </si>
  <si>
    <t>Primers - WB</t>
  </si>
  <si>
    <t>Primers - SB</t>
  </si>
  <si>
    <t>Binding primers - WB</t>
  </si>
  <si>
    <t>Binding primers - SB</t>
  </si>
  <si>
    <t>One-pack performance coatings - WB</t>
  </si>
  <si>
    <t>One-pack performance coatings - SB</t>
  </si>
  <si>
    <t>Two-pack reactive performance coatings for specific end use such as floors - WB</t>
  </si>
  <si>
    <t>Two-pack reactive performance coatings for specific end use such as floors - SB</t>
  </si>
  <si>
    <t>Multi-coloured coatings - WB</t>
  </si>
  <si>
    <t>Multi-coloured coatings - SB</t>
  </si>
  <si>
    <t>Decorative effect coatings - WB</t>
  </si>
  <si>
    <t>Decorative effect coatings - SB</t>
  </si>
  <si>
    <t>California Air Resources Board (CARB) 2007</t>
  </si>
  <si>
    <t>Flat coatings</t>
  </si>
  <si>
    <t>Nonflat - High gloss coatings</t>
  </si>
  <si>
    <t>Aluminum roof coatings</t>
  </si>
  <si>
    <t>Basement specialty coatings</t>
  </si>
  <si>
    <t>Bituminous roof coatings</t>
  </si>
  <si>
    <t>Bituminous roof primers</t>
  </si>
  <si>
    <t>Concrete curing compounds</t>
  </si>
  <si>
    <t>Concrete/Masonry sealers</t>
  </si>
  <si>
    <t>Driveway sealers</t>
  </si>
  <si>
    <t>Faux finishing coatings</t>
  </si>
  <si>
    <t>Fire resistive coatings</t>
  </si>
  <si>
    <t>Form-release compounds</t>
  </si>
  <si>
    <t>Graphic arts coatings (sign paints)</t>
  </si>
  <si>
    <t>High temperature coatings</t>
  </si>
  <si>
    <t>Mastic texture coatings</t>
  </si>
  <si>
    <t>Multi-color coatings</t>
  </si>
  <si>
    <t>Shellac - Opaque</t>
  </si>
  <si>
    <t>Specialty primers, sealers, and undercoaters</t>
  </si>
  <si>
    <t xml:space="preserve">Swimming pool coatings </t>
  </si>
  <si>
    <t>Traffic marking coatings</t>
  </si>
  <si>
    <t>Waterproofing membranes</t>
  </si>
  <si>
    <t>Wood coatings</t>
  </si>
  <si>
    <t>Zinc-rich primers</t>
  </si>
  <si>
    <t>Hong Kong Air Pollution Control (VOC) Regulation</t>
  </si>
  <si>
    <t>Aluminium roof coatings</t>
  </si>
  <si>
    <t>Below-ground wood preservatives</t>
  </si>
  <si>
    <t>Clear brushing lacquers</t>
  </si>
  <si>
    <t>Clear wood finishes (sanding sealers)</t>
  </si>
  <si>
    <t>Fire-proofing exterior coatings</t>
  </si>
  <si>
    <t>Interior stains</t>
  </si>
  <si>
    <t>Pigmented lacquers</t>
  </si>
  <si>
    <t>Roof coatings (exposed)</t>
  </si>
  <si>
    <t>Roof coatings (non-exposed)</t>
  </si>
  <si>
    <t>Shellacs (clear)</t>
  </si>
  <si>
    <t>Shellacs (pigmented)</t>
  </si>
  <si>
    <t>Swimming pool repair coatings</t>
  </si>
  <si>
    <t>Swimming pool coatings (other)</t>
  </si>
  <si>
    <t>Waterproofing concrete or masonry sealers</t>
  </si>
  <si>
    <t>Wood preservatives (other)</t>
  </si>
  <si>
    <t>Fire-retardant coatings (clear)</t>
  </si>
  <si>
    <t>Granite look-alike coatings or textured undercoaters</t>
  </si>
  <si>
    <t>Japans or faux finishing coatings</t>
  </si>
  <si>
    <t>Multi-colour coatings</t>
  </si>
  <si>
    <t>Non-flat coatings</t>
  </si>
  <si>
    <t>Roof primers (bituminous)</t>
  </si>
  <si>
    <t>Clear wood finishes (lacquers)</t>
  </si>
  <si>
    <t>Clear wood finishes (varnishes)</t>
  </si>
  <si>
    <t>Extreme high-gloss coatings for metal</t>
  </si>
  <si>
    <t>Fire-retardant coatings (pigmented)</t>
  </si>
  <si>
    <t>High-temperature industrial maintenance coatings</t>
  </si>
  <si>
    <t>Pre-treatment coatings for metal</t>
  </si>
  <si>
    <t>Primers, sealers and undercoaters</t>
  </si>
  <si>
    <t>Quick-dry enamels</t>
  </si>
  <si>
    <t>Quick-dry primers, sealers and undercoaters</t>
  </si>
  <si>
    <t>Superior durability solvent-borne coatings for metal</t>
  </si>
  <si>
    <t>Zinc-rich industrial maintenance primers</t>
  </si>
  <si>
    <t>Other architectural coatings</t>
  </si>
  <si>
    <t>Canadian VOC Concentration Limits for Architectural Coatings</t>
  </si>
  <si>
    <t>Antenna coating</t>
  </si>
  <si>
    <t>Thermoplastic rubber coating and mastic</t>
  </si>
  <si>
    <t>Metallic pigmented coating</t>
  </si>
  <si>
    <t>Bituminous roof primer</t>
  </si>
  <si>
    <t>Any other bituminous roof coating</t>
  </si>
  <si>
    <t>Non-bituminous roof coating</t>
  </si>
  <si>
    <t>Calcimine recoater</t>
  </si>
  <si>
    <t>Bond breaker</t>
  </si>
  <si>
    <t>Concrete curing compound</t>
  </si>
  <si>
    <t>Dry fog coating</t>
  </si>
  <si>
    <t>Extreme high durability coating</t>
  </si>
  <si>
    <t>Faux finish</t>
  </si>
  <si>
    <t>Fire resistant coating</t>
  </si>
  <si>
    <t>Fire retardant coating, clear</t>
  </si>
  <si>
    <t>Fire retardant coating, opaque</t>
  </si>
  <si>
    <t>Floor enamel</t>
  </si>
  <si>
    <t>Any other opaque floor coating for application to surfaces that may be subject to foot traffic</t>
  </si>
  <si>
    <t>Flow coating</t>
  </si>
  <si>
    <t>Graphic arts coating</t>
  </si>
  <si>
    <t>Temperature-indicator safety coating</t>
  </si>
  <si>
    <t>Any other high-temperature coating</t>
  </si>
  <si>
    <t>Impacted immersion coating</t>
  </si>
  <si>
    <t>Any other industrial maintenance coating</t>
  </si>
  <si>
    <t>Shellac, clear</t>
  </si>
  <si>
    <t>Shellac, opaque</t>
  </si>
  <si>
    <t>Clear brushing lacquer</t>
  </si>
  <si>
    <t>Any other lacquer, including lacquer sanding sealers</t>
  </si>
  <si>
    <t>Any other sanding sealer</t>
  </si>
  <si>
    <t>Conversion varnish</t>
  </si>
  <si>
    <t xml:space="preserve">Conjugated oil varnish for sealing wood </t>
  </si>
  <si>
    <t>Any other varnish</t>
  </si>
  <si>
    <t>Low solids coating</t>
  </si>
  <si>
    <t>Mastic texture coating</t>
  </si>
  <si>
    <t>Multi-coloured coating</t>
  </si>
  <si>
    <t>Nuclear coating</t>
  </si>
  <si>
    <t>Pre-treatment wash primer</t>
  </si>
  <si>
    <t>Specialty primer, sealer or undercoater</t>
  </si>
  <si>
    <t>Waterproofing sealer for concrete or masonry</t>
  </si>
  <si>
    <t>Any other waterproofing sealer</t>
  </si>
  <si>
    <t>Any other primer, sealer or undercoater</t>
  </si>
  <si>
    <t>Quick-dry enamel</t>
  </si>
  <si>
    <t>Recycled coating</t>
  </si>
  <si>
    <t>Rust preventive coating</t>
  </si>
  <si>
    <t>Interior wiping stain</t>
  </si>
  <si>
    <t>Exterior wood stain, clear or semi-transparent</t>
  </si>
  <si>
    <t>Any other stain, including lacquer stains</t>
  </si>
  <si>
    <t>Swimming pool coating</t>
  </si>
  <si>
    <t>Traffic marking coating</t>
  </si>
  <si>
    <t>Any other flat coating</t>
  </si>
  <si>
    <t>Any other non-flat coating</t>
  </si>
  <si>
    <t>Any other high-gloss coating</t>
  </si>
  <si>
    <t>UOM</t>
  </si>
  <si>
    <r>
      <t xml:space="preserve">Copyright </t>
    </r>
    <r>
      <rPr>
        <sz val="9"/>
        <color theme="0" tint="-0.499984740745262"/>
        <rFont val="Arial"/>
        <family val="2"/>
      </rPr>
      <t>©</t>
    </r>
    <r>
      <rPr>
        <sz val="8"/>
        <color theme="0" tint="-0.499984740745262"/>
        <rFont val="Arial"/>
        <family val="2"/>
      </rPr>
      <t xml:space="preserve"> 2019</t>
    </r>
  </si>
  <si>
    <t>U.S. Green Building Council</t>
  </si>
  <si>
    <t>1 = IP, 2 = SI</t>
  </si>
  <si>
    <t>All Rights Reserved</t>
  </si>
  <si>
    <t>General Emissions</t>
  </si>
  <si>
    <t>compWood</t>
  </si>
  <si>
    <t>GenEmissions</t>
  </si>
  <si>
    <t>TVOC</t>
  </si>
  <si>
    <t>ULEF product under EPA TSCA Title VI</t>
  </si>
  <si>
    <t>Option 1</t>
  </si>
  <si>
    <t>0.5 mg/m3 or less</t>
  </si>
  <si>
    <t>NAF product under EPA TSCA Title VI</t>
  </si>
  <si>
    <t>Option 2</t>
  </si>
  <si>
    <t>between 0.5 and 5.0 mg/m3</t>
  </si>
  <si>
    <t>ULEF product under CARB ATCM</t>
  </si>
  <si>
    <t>Does not meet criteria</t>
  </si>
  <si>
    <t>5.0 mg/m3 or more</t>
  </si>
  <si>
    <t>NAF product under CARB ATCM</t>
  </si>
  <si>
    <t>DIBt testing method (2010)</t>
  </si>
  <si>
    <t>no data</t>
  </si>
  <si>
    <t>emissions class E1 (tested per EN 717-2014)</t>
  </si>
  <si>
    <t>plywood PS 1-09 or PS 2-10</t>
  </si>
  <si>
    <t>OSB Exposure 1 or Exterior bond classification per PS 2-10</t>
  </si>
  <si>
    <t>VOC Content</t>
  </si>
  <si>
    <t>structural composite lumber - ASTM D 5456‐13</t>
  </si>
  <si>
    <t>VOCreg</t>
  </si>
  <si>
    <t>named ranges</t>
  </si>
  <si>
    <t>VOCreg2</t>
  </si>
  <si>
    <t>glued laminated timber - ANSI A190.1‐2012</t>
  </si>
  <si>
    <t>CARBSCM2007</t>
  </si>
  <si>
    <t>rule1168</t>
  </si>
  <si>
    <t>I-joists ASTM D 5055‐13</t>
  </si>
  <si>
    <t>rule1113</t>
  </si>
  <si>
    <t>HongKong</t>
  </si>
  <si>
    <t>cross-laminated timber PRG 320-15</t>
  </si>
  <si>
    <t>Decopaint</t>
  </si>
  <si>
    <t>Free of solvents, as defined in TRGS 610</t>
  </si>
  <si>
    <t>na</t>
  </si>
  <si>
    <t>other (specify)</t>
  </si>
  <si>
    <t>Canada</t>
  </si>
  <si>
    <t>Options</t>
  </si>
  <si>
    <t>VOC emissions evaluation  Option 1</t>
  </si>
  <si>
    <t>VOC emissions evaluation - Option 2</t>
  </si>
  <si>
    <t>inherently nonemitting sources</t>
  </si>
  <si>
    <t>salvaged and reused materials</t>
  </si>
  <si>
    <t>N/A</t>
  </si>
  <si>
    <t>Furniture_list</t>
  </si>
  <si>
    <t>furniture emissions evaluation</t>
  </si>
  <si>
    <t>ANSI/BIFMA e3-2014e section 7.6.1</t>
  </si>
  <si>
    <t>ANSI/BIFMA e3-2014e section 7.6.2</t>
  </si>
  <si>
    <t>ANSI/BIFMA e3-2014e section 7.6.2 AND 7.6.3</t>
  </si>
  <si>
    <t>Specify</t>
  </si>
  <si>
    <t>VOC emissions evaluation</t>
  </si>
  <si>
    <t>formaldehyde emissions evaluation</t>
  </si>
  <si>
    <t>Paints and Coatings</t>
  </si>
  <si>
    <t>Compliance is based on</t>
  </si>
  <si>
    <t>volume</t>
  </si>
  <si>
    <t xml:space="preserve">Are you using the VOC budget approach? </t>
  </si>
  <si>
    <t>Yes</t>
  </si>
  <si>
    <t>Product Name</t>
  </si>
  <si>
    <t>Manufacturer Name</t>
  </si>
  <si>
    <t>CSI Div (optional)</t>
  </si>
  <si>
    <t>Product Volume  (L)</t>
  </si>
  <si>
    <t>Criteria Selected</t>
  </si>
  <si>
    <t>VOC content evaluation</t>
  </si>
  <si>
    <t xml:space="preserve">
Product Certificate or Manufacturer documentation (include link to document OR name of file uploaded in LEED Online) (Optional)</t>
  </si>
  <si>
    <t>Reporting Type</t>
  </si>
  <si>
    <t>Reporting Organization</t>
  </si>
  <si>
    <t>Certification Period (start date) / Test date</t>
  </si>
  <si>
    <t>Certification Period (end date)</t>
  </si>
  <si>
    <t>Applicable standard or regulation</t>
  </si>
  <si>
    <t>VOC content limit
(g/l)</t>
  </si>
  <si>
    <t>Actual VOC content is below the VOC content limit?</t>
  </si>
  <si>
    <t xml:space="preserve">VOC Budget </t>
  </si>
  <si>
    <t>comp. wood with no other categories</t>
  </si>
  <si>
    <t>comp wood meets criteria</t>
  </si>
  <si>
    <t>Total 
Criteria 
Selected</t>
  </si>
  <si>
    <t>Total 
Criteria 
Met</t>
  </si>
  <si>
    <t>Total Compliant Area if all Criteria Met</t>
  </si>
  <si>
    <t>Actual VOC content (g/l)</t>
  </si>
  <si>
    <t>Baseline 
Case (g)</t>
  </si>
  <si>
    <t>Design 
Case (g)</t>
  </si>
  <si>
    <t>Third party certification</t>
  </si>
  <si>
    <t>UL Greenguard Gold </t>
  </si>
  <si>
    <t>Manufacturer (“first party”) reporting</t>
  </si>
  <si>
    <t>Eurofins </t>
  </si>
  <si>
    <t>Reporting not available</t>
  </si>
  <si>
    <t>Inherently nonemitting</t>
  </si>
  <si>
    <t>Green Seal GS-11 (Edition 4.0) </t>
  </si>
  <si>
    <t>A</t>
  </si>
  <si>
    <t>VOC content total, baseline case (g)</t>
  </si>
  <si>
    <t>Total volume of paints and coatings (L)</t>
  </si>
  <si>
    <t>VOC content total, design case (g)</t>
  </si>
  <si>
    <t>Volume of paints and coatings compliant with VOC emissions evaluation (L)</t>
  </si>
  <si>
    <t>Design case less than baseline?</t>
  </si>
  <si>
    <t>Percentage, by volume, of paints and coatings compliant with VOC emissions evaluation</t>
  </si>
  <si>
    <t>Total product volume compliant with VOC content evaluation (L)</t>
  </si>
  <si>
    <t>Percentage, by volume, of paints and coatings compliant with VOC content evaluation</t>
  </si>
  <si>
    <t>Percentage, by surface area, of paints and coatings compliant with VOC emissions evaluation</t>
  </si>
  <si>
    <t>Percentage, by surface area, compliant with VOC content evaluation</t>
  </si>
  <si>
    <t>Paints and coatings are compliant with VOC content evaluation, via VOC budget</t>
  </si>
  <si>
    <t>Adhesives and sealants</t>
  </si>
  <si>
    <t>Total volume of adhesives and sealants (L)</t>
  </si>
  <si>
    <t>Volume of adhesives and sealants compliant with VOC emissions evaluation (L)</t>
  </si>
  <si>
    <t>Percentage, by volume, of adhesives and sealants compliant with VOC emissions evaluation</t>
  </si>
  <si>
    <t>Percentage, by volume, of adhesives and sealants compliant with VOC content evaluation</t>
  </si>
  <si>
    <t>Percentage, by surface area, of adhesives and sealants compliant with VOC emissions evaluation</t>
  </si>
  <si>
    <t>adhesives and sealants are compliant with VOC content evaluation, via VOC budget</t>
  </si>
  <si>
    <t>Flooring</t>
  </si>
  <si>
    <t>Surface area</t>
  </si>
  <si>
    <t>Product Cost</t>
  </si>
  <si>
    <t xml:space="preserve">
Product Certificate or manufacturer documentation (include link to document OR name of file uploaded in LEED Online) (Optional)</t>
  </si>
  <si>
    <t>Green Label Plus  </t>
  </si>
  <si>
    <t>UL </t>
  </si>
  <si>
    <t>Reused or salvaged material</t>
  </si>
  <si>
    <t>Total cost of flooring</t>
  </si>
  <si>
    <t>Cost of flooring compliant with VOC emissions evaluation, inherently nonemitting sources criteria, or salvaged and reused materials criteria</t>
  </si>
  <si>
    <t>Percentage, by cost, of flooring compliant with VOC emissions evaluation, inherently nonemitting sources criteria, or salvaged and reused materials criteria</t>
  </si>
  <si>
    <t>Percentage, by surface area, of flooring compliant with VOC emissions evaluation, inherently nonemitting sources criteria, or salvaged and reused materials criteria</t>
  </si>
  <si>
    <t>Wall panels</t>
  </si>
  <si>
    <t>Cost</t>
  </si>
  <si>
    <t>Total cost of wall panels</t>
  </si>
  <si>
    <t>Cost of wall panels compliant with VOC emissions evaluation, inherently nonemitting sources criteria, or salvaged and reused materials criteria</t>
  </si>
  <si>
    <t>Percentage, by cost, of wall panels compliant with VOC emissions evaluation, inherently nonemitting sources criteria, or salvaged and reused materials criteria</t>
  </si>
  <si>
    <t>Percentage, by surface area, of wall panels compliant with VOC emissions evaluation, inherently nonemitting sources criteria, or salvaged and reused materials criteria</t>
  </si>
  <si>
    <t>Ceilings</t>
  </si>
  <si>
    <t>Total cost of ceilings</t>
  </si>
  <si>
    <t>Cost of ceilings compliant with VOC emissions evaluation, inherently nonemitting sources criteria, or salvaged and reused materials criteria</t>
  </si>
  <si>
    <t>Percentage, by cost, of ceilings compliant with VOC emissions evaluation, inherently nonemitting sources criteria, or salvaged and reused materials criteria</t>
  </si>
  <si>
    <t>Percentage, by surface area, of ceilings compliant with VOC emissions evaluation, inherently nonemitting sources criteria, or salvaged and reused materials criteria</t>
  </si>
  <si>
    <t>Insulation</t>
  </si>
  <si>
    <t>SCS Indoor Advantage Gold </t>
  </si>
  <si>
    <t>MAS </t>
  </si>
  <si>
    <t>Total cost of insulation</t>
  </si>
  <si>
    <t>Cost of insulation compliant with VOC emissions evaluation, inherently nonemitting sources criteria, or salvaged and reused materials criteria</t>
  </si>
  <si>
    <t>Percentage, by cost, of insulation compliant with VOC emissions evaluation, inherently nonemitting sources criteria, or salvaged and reused materials criteria</t>
  </si>
  <si>
    <t>Percentage, by surface area, of insulation compliant with VOC emissions evaluation, inherently nonemitting sources criteria, or salvaged and reused materials criteria</t>
  </si>
  <si>
    <t>Furniture</t>
  </si>
  <si>
    <t>Product cost</t>
  </si>
  <si>
    <t>Low-emitting criteria</t>
  </si>
  <si>
    <t>Criteria met</t>
  </si>
  <si>
    <t>Product cost (adjusted)</t>
  </si>
  <si>
    <t>Total cost of furniture</t>
  </si>
  <si>
    <t>Cost of furniture compliant with VOC emissions evaluation, inherently nonemitting sources criteria, or salvaged and reused materials criteria</t>
  </si>
  <si>
    <t>Percentage, by cost, of furniture compliant with furniture emissions evaluation, inherently nonemitting sources criteria, or salvaged and reused materials criteria</t>
  </si>
  <si>
    <t>Composite wood</t>
  </si>
  <si>
    <t>formaldehyde emissions evaluation (if applicable)</t>
  </si>
  <si>
    <t>criteria met</t>
  </si>
  <si>
    <t>Total cost of composite wood products</t>
  </si>
  <si>
    <t>Cost of composite wood compliant with formaldehyde emissions evaluation or salvaged and reused materials criteria</t>
  </si>
  <si>
    <t>Percentage, by cost, of composite wood compliant with formaldehyde emissions evaluation or salvaged and reused materials criteria</t>
  </si>
  <si>
    <t>Percentage, by surface area, of composite wood compliant with formaldehyde emissions evaluation or salvaged and reused materials criteria</t>
  </si>
  <si>
    <t xml:space="preserve">Product Category Summary </t>
  </si>
  <si>
    <t>Note: All information on this tab is READ-ONLY. To edit, see previous tabs.</t>
  </si>
  <si>
    <t>Category</t>
  </si>
  <si>
    <t>Percent Meeting Requirements</t>
  </si>
  <si>
    <t xml:space="preserve">percentage based on </t>
  </si>
  <si>
    <t>Threshold requirement</t>
  </si>
  <si>
    <t>Meets 
Threshold</t>
  </si>
  <si>
    <t>Meets 
Exemplary Performance</t>
  </si>
  <si>
    <t xml:space="preserve">Paints and coatings - </t>
  </si>
  <si>
    <t xml:space="preserve">        VOC emissions evaluation</t>
  </si>
  <si>
    <t xml:space="preserve">        VOC content evaluation</t>
  </si>
  <si>
    <t>Adhesives and sealants-</t>
  </si>
  <si>
    <t>Total number of compliant categories</t>
  </si>
  <si>
    <t>Compliance by category</t>
  </si>
  <si>
    <t>Adhesives and Sealants</t>
  </si>
  <si>
    <t>reportingTypeOptions</t>
  </si>
  <si>
    <t>reportingTypeLists</t>
  </si>
  <si>
    <t>reportingTypeAdditionalInfo</t>
  </si>
  <si>
    <t>reportingTypeCompliant</t>
  </si>
  <si>
    <t>manufacturerReporting</t>
  </si>
  <si>
    <t>thirdPartyCertification</t>
  </si>
  <si>
    <t>thirdPartyCertificationList</t>
  </si>
  <si>
    <t>Berkeley Analytical </t>
  </si>
  <si>
    <t>manufacturerReportingList</t>
  </si>
  <si>
    <t>Intertek </t>
  </si>
  <si>
    <t>Benchmark VOC Green Building Product </t>
  </si>
  <si>
    <t>FloorScore  </t>
  </si>
  <si>
    <t>VITO </t>
  </si>
  <si>
    <t>Intertek Clean Air Gold </t>
  </si>
  <si>
    <t>ecoINSTITUT </t>
  </si>
  <si>
    <t>NSF/ANSI 140 </t>
  </si>
  <si>
    <t>RISE </t>
  </si>
  <si>
    <t>NSF/ANSI 332  </t>
  </si>
  <si>
    <t>Normec Servaco </t>
  </si>
  <si>
    <t>Asthma &amp; Allergy Friendly Certification </t>
  </si>
  <si>
    <t>[blank / other / manual entry] </t>
  </si>
  <si>
    <t>CHPS  </t>
  </si>
  <si>
    <t>MAS Certified Green </t>
  </si>
  <si>
    <t>Eurofins Indoor Air Comfort Gold </t>
  </si>
  <si>
    <t>Eurofins Indoor Air Comfort USA </t>
  </si>
  <si>
    <t>EMICODE EC1 </t>
  </si>
  <si>
    <t>EMICODE EC1 Plus </t>
  </si>
  <si>
    <t>M1  </t>
  </si>
  <si>
    <t>Taiwan Healthy Building Material Label </t>
  </si>
  <si>
    <t>GUT </t>
  </si>
  <si>
    <t>Blue Angel </t>
  </si>
  <si>
    <t>eco-INSTITUT-Label </t>
  </si>
  <si>
    <t>NaturePLUS </t>
  </si>
  <si>
    <t>Danish Indoor Climate Label- Emissions Class 1 </t>
  </si>
  <si>
    <t>TÜV SÜD </t>
  </si>
  <si>
    <t>V02</t>
  </si>
  <si>
    <t>Last Updated 10/15/2025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</si>
</sst>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0.0%"/>
    <numFmt numFmtId="165" formatCode="[$-409]mmmm\ d\,\ yyyy;@"/>
  </numFmts>
  <fonts count="48" x14ac:knownFonts="1">
    <font>
      <sz val="11"/>
      <color theme="1"/>
      <name val="Calibri"/>
      <family val="2"/>
      <scheme val="minor"/>
    </font>
    <font>
      <sz val="10"/>
      <color theme="1"/>
      <name val="Arial"/>
      <family val="2"/>
    </font>
    <font>
      <sz val="10"/>
      <color theme="1"/>
      <name val="Arial"/>
      <family val="2"/>
    </font>
    <font>
      <sz val="11"/>
      <color indexed="8"/>
      <name val="Calibri"/>
      <family val="2"/>
    </font>
    <font>
      <b/>
      <sz val="10"/>
      <color indexed="8"/>
      <name val="Arial"/>
      <family val="2"/>
    </font>
    <font>
      <sz val="10"/>
      <color theme="1"/>
      <name val="Arial"/>
      <family val="2"/>
    </font>
    <font>
      <sz val="10"/>
      <name val="Arial"/>
      <family val="2"/>
    </font>
    <font>
      <sz val="8"/>
      <name val="Arial"/>
      <family val="2"/>
    </font>
    <font>
      <b/>
      <sz val="10"/>
      <name val="Arial"/>
      <family val="2"/>
    </font>
    <font>
      <b/>
      <sz val="10"/>
      <color indexed="63"/>
      <name val="Arial"/>
      <family val="2"/>
    </font>
    <font>
      <sz val="11"/>
      <color theme="1"/>
      <name val="Calibri"/>
      <family val="2"/>
      <scheme val="minor"/>
    </font>
    <font>
      <b/>
      <sz val="10"/>
      <color theme="1"/>
      <name val="Arial"/>
      <family val="2"/>
    </font>
    <font>
      <sz val="9"/>
      <color theme="1"/>
      <name val="Arial"/>
      <family val="2"/>
    </font>
    <font>
      <sz val="9"/>
      <name val="Arial"/>
      <family val="2"/>
    </font>
    <font>
      <b/>
      <sz val="9"/>
      <color theme="1"/>
      <name val="Arial"/>
      <family val="2"/>
    </font>
    <font>
      <sz val="10"/>
      <color theme="0"/>
      <name val="Arial"/>
      <family val="2"/>
    </font>
    <font>
      <b/>
      <sz val="10"/>
      <color theme="0"/>
      <name val="Arial"/>
      <family val="2"/>
    </font>
    <font>
      <sz val="12"/>
      <name val="Arial"/>
      <family val="2"/>
    </font>
    <font>
      <sz val="10"/>
      <name val="Tahoma"/>
      <family val="2"/>
    </font>
    <font>
      <sz val="10"/>
      <color theme="1"/>
      <name val="Tahoma"/>
      <family val="2"/>
    </font>
    <font>
      <b/>
      <sz val="16"/>
      <name val="Arial"/>
      <family val="2"/>
    </font>
    <font>
      <b/>
      <sz val="9"/>
      <name val="Arial"/>
      <family val="2"/>
    </font>
    <font>
      <sz val="10"/>
      <color theme="0" tint="-0.14999847407452621"/>
      <name val="Arial"/>
      <family val="2"/>
    </font>
    <font>
      <sz val="14"/>
      <name val="Arial Black"/>
      <family val="2"/>
    </font>
    <font>
      <sz val="16"/>
      <color theme="0"/>
      <name val="Arial Black"/>
      <family val="2"/>
    </font>
    <font>
      <sz val="8"/>
      <color theme="1"/>
      <name val="Arial"/>
      <family val="2"/>
    </font>
    <font>
      <b/>
      <sz val="12"/>
      <color theme="1"/>
      <name val="Arial"/>
      <family val="2"/>
    </font>
    <font>
      <sz val="16"/>
      <name val="Arial Black"/>
      <family val="2"/>
    </font>
    <font>
      <sz val="9"/>
      <color theme="0"/>
      <name val="Arial"/>
      <family val="2"/>
    </font>
    <font>
      <sz val="9"/>
      <color theme="1"/>
      <name val="Calibri"/>
      <family val="2"/>
      <scheme val="minor"/>
    </font>
    <font>
      <sz val="11"/>
      <name val="Calibri"/>
      <family val="2"/>
      <scheme val="minor"/>
    </font>
    <font>
      <sz val="9"/>
      <color indexed="8"/>
      <name val="Arial"/>
      <family val="2"/>
    </font>
    <font>
      <sz val="9"/>
      <color theme="0" tint="-0.499984740745262"/>
      <name val="Arial"/>
      <family val="2"/>
    </font>
    <font>
      <sz val="8"/>
      <color theme="0" tint="-0.499984740745262"/>
      <name val="Arial"/>
      <family val="2"/>
    </font>
    <font>
      <u/>
      <sz val="9"/>
      <color theme="1"/>
      <name val="Arial"/>
      <family val="2"/>
    </font>
    <font>
      <u/>
      <sz val="8"/>
      <color theme="1"/>
      <name val="Arial"/>
      <family val="2"/>
    </font>
    <font>
      <strike/>
      <sz val="11"/>
      <color theme="1"/>
      <name val="Calibri"/>
      <family val="2"/>
      <scheme val="minor"/>
    </font>
    <font>
      <b/>
      <strike/>
      <sz val="9"/>
      <color theme="1"/>
      <name val="Arial"/>
      <family val="2"/>
    </font>
    <font>
      <strike/>
      <sz val="10"/>
      <color theme="1"/>
      <name val="Arial"/>
      <family val="2"/>
    </font>
    <font>
      <sz val="9"/>
      <color indexed="81"/>
      <name val="Arial"/>
      <family val="2"/>
    </font>
    <font>
      <strike/>
      <sz val="9"/>
      <color theme="1"/>
      <name val="Arial"/>
      <family val="2"/>
    </font>
    <font>
      <sz val="8"/>
      <color rgb="FF333333"/>
      <name val="Arial"/>
      <family val="2"/>
    </font>
    <font>
      <sz val="9"/>
      <color rgb="FF333333"/>
      <name val="Arial"/>
      <family val="2"/>
    </font>
    <font>
      <sz val="10"/>
      <color theme="1"/>
      <name val="Calibri"/>
      <family val="2"/>
      <scheme val="minor"/>
    </font>
    <font>
      <b/>
      <sz val="9"/>
      <color indexed="81"/>
      <name val="Tahoma"/>
      <family val="2"/>
    </font>
    <font>
      <sz val="8"/>
      <color rgb="FF000000"/>
      <name val="Aptos"/>
      <family val="2"/>
    </font>
    <font>
      <sz val="9"/>
      <color indexed="81"/>
      <name val="Tahoma"/>
      <family val="2"/>
    </font>
    <font>
      <sz val="10"/>
      <color rgb="FF000000"/>
      <name val="Arial"/>
      <family val="2"/>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00ADD0"/>
        <bgColor indexed="64"/>
      </patternFill>
    </fill>
    <fill>
      <patternFill patternType="solid">
        <fgColor theme="0" tint="-0.14996795556505021"/>
        <bgColor indexed="64"/>
      </patternFill>
    </fill>
    <fill>
      <patternFill patternType="solid">
        <fgColor rgb="FFF2F2F2"/>
        <bgColor indexed="64"/>
      </patternFill>
    </fill>
  </fills>
  <borders count="61">
    <border>
      <left/>
      <right/>
      <top/>
      <bottom/>
      <diagonal/>
    </border>
    <border>
      <left style="thin">
        <color theme="0" tint="-0.499984740745262"/>
      </left>
      <right style="thin">
        <color theme="0" tint="-0.499984740745262"/>
      </right>
      <top style="thin">
        <color theme="0" tint="-0.499984740745262"/>
      </top>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style="thin">
        <color theme="0" tint="-0.34998626667073579"/>
      </left>
      <right style="thin">
        <color theme="0" tint="-0.34998626667073579"/>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34998626667073579"/>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diagonal/>
    </border>
    <border>
      <left/>
      <right style="thin">
        <color theme="0" tint="-0.24994659260841701"/>
      </right>
      <top/>
      <bottom/>
      <diagonal/>
    </border>
    <border>
      <left/>
      <right style="thin">
        <color theme="0" tint="-0.24994659260841701"/>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34998626667073579"/>
      </top>
      <bottom/>
      <diagonal/>
    </border>
    <border>
      <left/>
      <right style="thin">
        <color theme="0" tint="-0.34998626667073579"/>
      </right>
      <top/>
      <bottom/>
      <diagonal/>
    </border>
    <border>
      <left/>
      <right style="thin">
        <color theme="0" tint="-0.24994659260841701"/>
      </right>
      <top/>
      <bottom style="thin">
        <color theme="0" tint="-0.2499465926084170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bottom style="thin">
        <color theme="0" tint="-0.24994659260841701"/>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s>
  <cellStyleXfs count="9">
    <xf numFmtId="0" fontId="0" fillId="0" borderId="0"/>
    <xf numFmtId="9" fontId="3" fillId="0" borderId="0" applyFont="0" applyFill="0" applyBorder="0" applyAlignment="0" applyProtection="0"/>
    <xf numFmtId="0" fontId="10" fillId="0" borderId="0"/>
    <xf numFmtId="0" fontId="5" fillId="0" borderId="0"/>
    <xf numFmtId="0" fontId="6" fillId="0" borderId="0"/>
    <xf numFmtId="0" fontId="2" fillId="0" borderId="0"/>
    <xf numFmtId="0" fontId="10" fillId="0" borderId="0"/>
    <xf numFmtId="0" fontId="10" fillId="0" borderId="0"/>
    <xf numFmtId="43" fontId="10" fillId="0" borderId="0" applyFont="0" applyFill="0" applyBorder="0" applyAlignment="0" applyProtection="0"/>
  </cellStyleXfs>
  <cellXfs count="381">
    <xf numFmtId="0" fontId="0" fillId="0" borderId="0" xfId="0"/>
    <xf numFmtId="9" fontId="6" fillId="0" borderId="0" xfId="1" applyFont="1" applyFill="1" applyBorder="1" applyAlignment="1" applyProtection="1">
      <alignment horizontal="left" vertical="center"/>
      <protection hidden="1"/>
    </xf>
    <xf numFmtId="0" fontId="5" fillId="0" borderId="0" xfId="0" applyFont="1" applyProtection="1">
      <protection hidden="1"/>
    </xf>
    <xf numFmtId="0" fontId="5" fillId="0" borderId="0" xfId="0" applyFont="1" applyAlignment="1" applyProtection="1">
      <alignment horizontal="left" vertical="center"/>
      <protection hidden="1"/>
    </xf>
    <xf numFmtId="0" fontId="0" fillId="0" borderId="0" xfId="0" applyProtection="1">
      <protection hidden="1"/>
    </xf>
    <xf numFmtId="0" fontId="15" fillId="5" borderId="0" xfId="0" applyFont="1" applyFill="1" applyProtection="1">
      <protection hidden="1"/>
    </xf>
    <xf numFmtId="0" fontId="24" fillId="5" borderId="0" xfId="0" applyFont="1" applyFill="1" applyAlignment="1" applyProtection="1">
      <alignment vertical="center"/>
      <protection hidden="1"/>
    </xf>
    <xf numFmtId="0" fontId="15" fillId="5" borderId="0" xfId="0" applyFont="1" applyFill="1" applyAlignment="1" applyProtection="1">
      <alignment vertical="center" wrapText="1"/>
      <protection hidden="1"/>
    </xf>
    <xf numFmtId="0" fontId="15" fillId="5" borderId="0" xfId="0" applyFont="1" applyFill="1" applyAlignment="1" applyProtection="1">
      <alignment horizontal="left" vertical="center" wrapText="1"/>
      <protection hidden="1"/>
    </xf>
    <xf numFmtId="0" fontId="6" fillId="2" borderId="5" xfId="1" applyNumberFormat="1" applyFont="1" applyFill="1" applyBorder="1" applyAlignment="1" applyProtection="1">
      <alignment horizontal="center" vertical="top" wrapText="1"/>
      <protection hidden="1"/>
    </xf>
    <xf numFmtId="0" fontId="5" fillId="4" borderId="0" xfId="0" applyFont="1" applyFill="1"/>
    <xf numFmtId="0" fontId="5" fillId="4" borderId="0" xfId="0" applyFont="1" applyFill="1" applyAlignment="1">
      <alignment horizontal="center" vertical="center"/>
    </xf>
    <xf numFmtId="0" fontId="11" fillId="3" borderId="0" xfId="0" applyFont="1" applyFill="1" applyAlignment="1">
      <alignment horizontal="left" vertical="top"/>
    </xf>
    <xf numFmtId="0" fontId="11" fillId="3" borderId="12" xfId="0" applyFont="1" applyFill="1" applyBorder="1" applyAlignment="1">
      <alignment horizontal="left" vertical="center" indent="2"/>
    </xf>
    <xf numFmtId="0" fontId="0" fillId="4" borderId="0" xfId="0" applyFill="1"/>
    <xf numFmtId="0" fontId="0" fillId="3" borderId="12" xfId="0" applyFill="1" applyBorder="1"/>
    <xf numFmtId="0" fontId="0" fillId="3" borderId="28" xfId="0" applyFill="1" applyBorder="1"/>
    <xf numFmtId="0" fontId="6" fillId="0" borderId="0" xfId="0" applyFont="1" applyAlignment="1" applyProtection="1">
      <alignment horizontal="left" vertical="center"/>
      <protection hidden="1"/>
    </xf>
    <xf numFmtId="0" fontId="6" fillId="4" borderId="0" xfId="4" applyFill="1" applyAlignment="1">
      <alignment vertical="center"/>
    </xf>
    <xf numFmtId="0" fontId="6" fillId="3" borderId="11" xfId="4" applyFill="1" applyBorder="1" applyAlignment="1">
      <alignment vertical="center"/>
    </xf>
    <xf numFmtId="0" fontId="6" fillId="3" borderId="26" xfId="4" applyFill="1" applyBorder="1" applyAlignment="1">
      <alignment vertical="center"/>
    </xf>
    <xf numFmtId="0" fontId="6" fillId="3" borderId="25" xfId="4" applyFill="1" applyBorder="1" applyAlignment="1">
      <alignment vertical="center"/>
    </xf>
    <xf numFmtId="0" fontId="6" fillId="3" borderId="12" xfId="4" applyFill="1" applyBorder="1" applyAlignment="1">
      <alignment vertical="center"/>
    </xf>
    <xf numFmtId="0" fontId="20" fillId="3" borderId="0" xfId="4" applyFont="1" applyFill="1" applyAlignment="1">
      <alignment horizontal="left" vertical="center"/>
    </xf>
    <xf numFmtId="0" fontId="6" fillId="3" borderId="0" xfId="4" applyFill="1" applyAlignment="1">
      <alignment vertical="center"/>
    </xf>
    <xf numFmtId="0" fontId="8" fillId="3" borderId="0" xfId="4" applyFont="1" applyFill="1" applyAlignment="1">
      <alignment vertical="center"/>
    </xf>
    <xf numFmtId="0" fontId="8" fillId="3" borderId="28" xfId="4" applyFont="1" applyFill="1" applyBorder="1" applyAlignment="1">
      <alignment vertical="center"/>
    </xf>
    <xf numFmtId="0" fontId="8" fillId="4" borderId="0" xfId="4" applyFont="1" applyFill="1" applyAlignment="1">
      <alignment vertical="center"/>
    </xf>
    <xf numFmtId="49" fontId="7" fillId="3" borderId="0" xfId="4" applyNumberFormat="1" applyFont="1" applyFill="1" applyAlignment="1">
      <alignment vertical="center"/>
    </xf>
    <xf numFmtId="0" fontId="6" fillId="3" borderId="28" xfId="4" applyFill="1" applyBorder="1" applyAlignment="1">
      <alignment vertical="center"/>
    </xf>
    <xf numFmtId="0" fontId="6" fillId="3" borderId="0" xfId="0" applyFont="1" applyFill="1" applyAlignment="1">
      <alignment wrapText="1"/>
    </xf>
    <xf numFmtId="0" fontId="6" fillId="3" borderId="28" xfId="4" applyFill="1" applyBorder="1" applyAlignment="1">
      <alignment horizontal="left" vertical="center" wrapText="1"/>
    </xf>
    <xf numFmtId="0" fontId="6" fillId="4" borderId="0" xfId="0" applyFont="1" applyFill="1" applyAlignment="1">
      <alignment wrapText="1"/>
    </xf>
    <xf numFmtId="0" fontId="6" fillId="4" borderId="0" xfId="0" applyFont="1" applyFill="1" applyAlignment="1">
      <alignment vertical="center" wrapText="1"/>
    </xf>
    <xf numFmtId="0" fontId="5" fillId="4" borderId="0" xfId="0" applyFont="1" applyFill="1" applyAlignment="1">
      <alignment vertical="center"/>
    </xf>
    <xf numFmtId="0" fontId="6" fillId="4" borderId="0" xfId="0" applyFont="1" applyFill="1" applyAlignment="1">
      <alignment vertical="top" wrapText="1"/>
    </xf>
    <xf numFmtId="0" fontId="21" fillId="3" borderId="0" xfId="4" applyFont="1" applyFill="1" applyAlignment="1">
      <alignment vertical="top"/>
    </xf>
    <xf numFmtId="49" fontId="6" fillId="3" borderId="0" xfId="4" applyNumberFormat="1" applyFill="1" applyAlignment="1">
      <alignment vertical="center"/>
    </xf>
    <xf numFmtId="0" fontId="6" fillId="3" borderId="13" xfId="4" applyFill="1" applyBorder="1" applyAlignment="1">
      <alignment vertical="center"/>
    </xf>
    <xf numFmtId="0" fontId="6" fillId="3" borderId="31" xfId="4" applyFill="1" applyBorder="1" applyAlignment="1">
      <alignment vertical="center"/>
    </xf>
    <xf numFmtId="44" fontId="6" fillId="3" borderId="31" xfId="4" applyNumberFormat="1" applyFill="1" applyBorder="1" applyAlignment="1">
      <alignment vertical="center" wrapText="1"/>
    </xf>
    <xf numFmtId="0" fontId="6" fillId="3" borderId="14" xfId="4" applyFill="1" applyBorder="1" applyAlignment="1">
      <alignment vertical="center"/>
    </xf>
    <xf numFmtId="0" fontId="6" fillId="4" borderId="0" xfId="4" applyFill="1"/>
    <xf numFmtId="0" fontId="15" fillId="0" borderId="0" xfId="0" applyFont="1" applyAlignment="1" applyProtection="1">
      <alignment horizontal="left" vertical="center"/>
      <protection hidden="1"/>
    </xf>
    <xf numFmtId="0" fontId="22" fillId="2" borderId="32" xfId="0" applyFont="1" applyFill="1" applyBorder="1" applyAlignment="1" applyProtection="1">
      <alignment horizontal="left" vertical="center"/>
      <protection hidden="1"/>
    </xf>
    <xf numFmtId="0" fontId="6" fillId="2" borderId="10" xfId="0" applyFont="1" applyFill="1" applyBorder="1" applyAlignment="1" applyProtection="1">
      <alignment horizontal="left" vertical="center"/>
      <protection hidden="1"/>
    </xf>
    <xf numFmtId="0" fontId="11" fillId="3" borderId="0" xfId="6" applyFont="1" applyFill="1" applyAlignment="1">
      <alignment horizontal="left" vertical="center"/>
    </xf>
    <xf numFmtId="0" fontId="6" fillId="3" borderId="0" xfId="4" applyFill="1" applyAlignment="1">
      <alignment vertical="center" wrapText="1"/>
    </xf>
    <xf numFmtId="0" fontId="28" fillId="0" borderId="0" xfId="0" applyFont="1" applyAlignment="1" applyProtection="1">
      <alignment vertical="center"/>
      <protection hidden="1"/>
    </xf>
    <xf numFmtId="0" fontId="29" fillId="0" borderId="0" xfId="0" applyFont="1" applyAlignment="1" applyProtection="1">
      <alignment vertical="center"/>
      <protection hidden="1"/>
    </xf>
    <xf numFmtId="0" fontId="12" fillId="0" borderId="0" xfId="0" applyFont="1" applyAlignment="1" applyProtection="1">
      <alignment vertical="center"/>
      <protection hidden="1"/>
    </xf>
    <xf numFmtId="1" fontId="12" fillId="0" borderId="4" xfId="0" applyNumberFormat="1" applyFont="1" applyBorder="1" applyAlignment="1" applyProtection="1">
      <alignment horizontal="center" vertical="center"/>
      <protection hidden="1"/>
    </xf>
    <xf numFmtId="1" fontId="12" fillId="0" borderId="4" xfId="0" applyNumberFormat="1" applyFont="1" applyBorder="1" applyAlignment="1">
      <alignment horizontal="center" vertical="center"/>
    </xf>
    <xf numFmtId="0" fontId="12" fillId="0" borderId="4" xfId="0" applyFont="1" applyBorder="1" applyAlignment="1" applyProtection="1">
      <alignment horizontal="center" vertical="center"/>
      <protection hidden="1"/>
    </xf>
    <xf numFmtId="0" fontId="13" fillId="2" borderId="5" xfId="1" applyNumberFormat="1" applyFont="1" applyFill="1" applyBorder="1" applyAlignment="1" applyProtection="1">
      <alignment horizontal="center" vertical="center" wrapText="1"/>
      <protection hidden="1"/>
    </xf>
    <xf numFmtId="49" fontId="13" fillId="4" borderId="27" xfId="1" applyNumberFormat="1" applyFont="1" applyFill="1" applyBorder="1" applyAlignment="1" applyProtection="1">
      <alignment vertical="center" wrapText="1"/>
      <protection locked="0"/>
    </xf>
    <xf numFmtId="1" fontId="12" fillId="0" borderId="16" xfId="0" applyNumberFormat="1" applyFont="1" applyBorder="1" applyAlignment="1" applyProtection="1">
      <alignment horizontal="center" vertical="center"/>
      <protection hidden="1"/>
    </xf>
    <xf numFmtId="49" fontId="13" fillId="4" borderId="29" xfId="1" applyNumberFormat="1" applyFont="1" applyFill="1" applyBorder="1" applyAlignment="1" applyProtection="1">
      <alignment vertical="center" wrapText="1"/>
      <protection locked="0"/>
    </xf>
    <xf numFmtId="0" fontId="6" fillId="0" borderId="0" xfId="0" applyFont="1" applyProtection="1">
      <protection hidden="1"/>
    </xf>
    <xf numFmtId="0" fontId="13" fillId="3" borderId="0" xfId="4" applyFont="1" applyFill="1" applyAlignment="1">
      <alignment horizontal="left" vertical="center"/>
    </xf>
    <xf numFmtId="0" fontId="13" fillId="3" borderId="0" xfId="4" applyFont="1" applyFill="1" applyAlignment="1">
      <alignment horizontal="left" vertical="top"/>
    </xf>
    <xf numFmtId="49" fontId="13" fillId="4" borderId="7" xfId="0" applyNumberFormat="1" applyFont="1" applyFill="1" applyBorder="1" applyAlignment="1" applyProtection="1">
      <alignment horizontal="left" vertical="center" wrapText="1"/>
      <protection locked="0"/>
    </xf>
    <xf numFmtId="0" fontId="10" fillId="3" borderId="31" xfId="2" applyFill="1" applyBorder="1"/>
    <xf numFmtId="0" fontId="13" fillId="3" borderId="0" xfId="4" applyFont="1" applyFill="1" applyAlignment="1">
      <alignment vertical="center"/>
    </xf>
    <xf numFmtId="0" fontId="13" fillId="3" borderId="31" xfId="4" applyFont="1" applyFill="1" applyBorder="1" applyAlignment="1">
      <alignment vertical="center"/>
    </xf>
    <xf numFmtId="0" fontId="12" fillId="3" borderId="0" xfId="0" applyFont="1" applyFill="1" applyAlignment="1">
      <alignment horizontal="center" vertical="center" wrapText="1"/>
    </xf>
    <xf numFmtId="0" fontId="12" fillId="3" borderId="0" xfId="0" applyFont="1" applyFill="1" applyAlignment="1">
      <alignment horizontal="center" vertical="center"/>
    </xf>
    <xf numFmtId="49" fontId="13" fillId="4" borderId="22" xfId="0" applyNumberFormat="1" applyFont="1" applyFill="1" applyBorder="1" applyAlignment="1" applyProtection="1">
      <alignment horizontal="left" vertical="center" wrapText="1"/>
      <protection locked="0"/>
    </xf>
    <xf numFmtId="164" fontId="13" fillId="4" borderId="34" xfId="1" applyNumberFormat="1" applyFont="1" applyFill="1" applyBorder="1" applyAlignment="1" applyProtection="1">
      <alignment vertical="center" wrapText="1"/>
      <protection locked="0"/>
    </xf>
    <xf numFmtId="0" fontId="6" fillId="2" borderId="31" xfId="0" applyFont="1" applyFill="1" applyBorder="1" applyAlignment="1" applyProtection="1">
      <alignment horizontal="left" vertical="center"/>
      <protection hidden="1"/>
    </xf>
    <xf numFmtId="49" fontId="13" fillId="4" borderId="21" xfId="0" applyNumberFormat="1" applyFont="1" applyFill="1" applyBorder="1" applyAlignment="1" applyProtection="1">
      <alignment horizontal="left" vertical="center" wrapText="1"/>
      <protection locked="0"/>
    </xf>
    <xf numFmtId="49" fontId="13" fillId="4" borderId="45" xfId="0" applyNumberFormat="1" applyFont="1" applyFill="1" applyBorder="1" applyAlignment="1" applyProtection="1">
      <alignment horizontal="left" vertical="center" wrapText="1"/>
      <protection locked="0"/>
    </xf>
    <xf numFmtId="0" fontId="22" fillId="2" borderId="10" xfId="0" applyFont="1" applyFill="1" applyBorder="1" applyAlignment="1" applyProtection="1">
      <alignment horizontal="left" vertical="center"/>
      <protection hidden="1"/>
    </xf>
    <xf numFmtId="0" fontId="1" fillId="0" borderId="0" xfId="0" applyFont="1" applyProtection="1">
      <protection hidden="1"/>
    </xf>
    <xf numFmtId="0" fontId="22" fillId="0" borderId="0" xfId="0" applyFont="1" applyAlignment="1" applyProtection="1">
      <alignment horizontal="left" vertical="center"/>
      <protection hidden="1"/>
    </xf>
    <xf numFmtId="0" fontId="22" fillId="0" borderId="0" xfId="1" applyNumberFormat="1" applyFont="1" applyFill="1" applyBorder="1" applyAlignment="1" applyProtection="1">
      <alignment horizontal="center" vertical="top" wrapText="1"/>
      <protection hidden="1"/>
    </xf>
    <xf numFmtId="0" fontId="11" fillId="0" borderId="0" xfId="0" applyFont="1" applyAlignment="1">
      <alignment horizontal="left" vertical="center" indent="1"/>
    </xf>
    <xf numFmtId="0" fontId="6" fillId="0" borderId="0" xfId="1" applyNumberFormat="1" applyFont="1" applyFill="1" applyBorder="1" applyAlignment="1" applyProtection="1">
      <alignment horizontal="center" vertical="top" wrapText="1"/>
      <protection hidden="1"/>
    </xf>
    <xf numFmtId="0" fontId="6" fillId="0" borderId="0" xfId="0" applyFont="1" applyAlignment="1">
      <alignment horizontal="center" vertical="center" wrapText="1"/>
    </xf>
    <xf numFmtId="0" fontId="30" fillId="0" borderId="0" xfId="0" applyFont="1" applyProtection="1">
      <protection hidden="1"/>
    </xf>
    <xf numFmtId="0" fontId="6" fillId="0" borderId="0" xfId="0" applyFont="1" applyAlignment="1" applyProtection="1">
      <alignment horizontal="left"/>
      <protection hidden="1"/>
    </xf>
    <xf numFmtId="9" fontId="6" fillId="2" borderId="1" xfId="1" applyFont="1" applyFill="1" applyBorder="1" applyAlignment="1" applyProtection="1">
      <alignment horizontal="left" vertical="center"/>
      <protection hidden="1"/>
    </xf>
    <xf numFmtId="0" fontId="6" fillId="3" borderId="0" xfId="0" applyFont="1" applyFill="1" applyAlignment="1" applyProtection="1">
      <alignment horizontal="left" vertical="center"/>
      <protection hidden="1"/>
    </xf>
    <xf numFmtId="49" fontId="13" fillId="4" borderId="46" xfId="0" applyNumberFormat="1" applyFont="1" applyFill="1" applyBorder="1" applyAlignment="1" applyProtection="1">
      <alignment horizontal="left" vertical="center" wrapText="1"/>
      <protection locked="0"/>
    </xf>
    <xf numFmtId="164" fontId="13" fillId="4" borderId="46" xfId="1" applyNumberFormat="1" applyFont="1" applyFill="1" applyBorder="1" applyAlignment="1" applyProtection="1">
      <alignment vertical="center" wrapText="1"/>
      <protection locked="0"/>
    </xf>
    <xf numFmtId="3" fontId="13" fillId="0" borderId="46" xfId="1" applyNumberFormat="1" applyFont="1" applyFill="1" applyBorder="1" applyAlignment="1" applyProtection="1">
      <alignment vertical="center" wrapText="1"/>
      <protection hidden="1"/>
    </xf>
    <xf numFmtId="4" fontId="13" fillId="4" borderId="46" xfId="1" applyNumberFormat="1" applyFont="1" applyFill="1" applyBorder="1" applyAlignment="1" applyProtection="1">
      <alignment vertical="center" wrapText="1"/>
      <protection locked="0"/>
    </xf>
    <xf numFmtId="4" fontId="13" fillId="0" borderId="46" xfId="1" applyNumberFormat="1" applyFont="1" applyFill="1" applyBorder="1" applyAlignment="1" applyProtection="1">
      <alignment horizontal="right" vertical="center" wrapText="1"/>
    </xf>
    <xf numFmtId="0" fontId="13" fillId="2" borderId="46" xfId="1" applyNumberFormat="1" applyFont="1" applyFill="1" applyBorder="1" applyAlignment="1" applyProtection="1">
      <alignment horizontal="center" vertical="center" wrapText="1"/>
      <protection hidden="1"/>
    </xf>
    <xf numFmtId="49" fontId="13" fillId="4" borderId="46" xfId="1" applyNumberFormat="1" applyFont="1" applyFill="1" applyBorder="1" applyAlignment="1" applyProtection="1">
      <alignment vertical="center" wrapText="1"/>
      <protection locked="0"/>
    </xf>
    <xf numFmtId="0" fontId="22" fillId="2" borderId="46" xfId="0" applyFont="1" applyFill="1" applyBorder="1" applyAlignment="1" applyProtection="1">
      <alignment horizontal="left" vertical="center"/>
      <protection hidden="1"/>
    </xf>
    <xf numFmtId="0" fontId="6" fillId="2" borderId="46" xfId="0" applyFont="1" applyFill="1" applyBorder="1" applyAlignment="1" applyProtection="1">
      <alignment horizontal="left" vertical="center"/>
      <protection hidden="1"/>
    </xf>
    <xf numFmtId="0" fontId="6" fillId="2" borderId="46" xfId="1" applyNumberFormat="1" applyFont="1" applyFill="1" applyBorder="1" applyAlignment="1" applyProtection="1">
      <alignment horizontal="center" vertical="top" wrapText="1"/>
      <protection hidden="1"/>
    </xf>
    <xf numFmtId="9" fontId="6" fillId="2" borderId="46" xfId="1" applyFont="1" applyFill="1" applyBorder="1" applyAlignment="1" applyProtection="1">
      <alignment horizontal="left" vertical="center"/>
      <protection hidden="1"/>
    </xf>
    <xf numFmtId="4" fontId="13" fillId="0" borderId="46" xfId="1" applyNumberFormat="1" applyFont="1" applyFill="1" applyBorder="1" applyAlignment="1" applyProtection="1">
      <alignment horizontal="right" vertical="center"/>
    </xf>
    <xf numFmtId="9" fontId="13" fillId="0" borderId="46" xfId="1" applyFont="1" applyFill="1" applyBorder="1" applyAlignment="1" applyProtection="1">
      <alignment horizontal="center" vertical="center"/>
    </xf>
    <xf numFmtId="0" fontId="6" fillId="0" borderId="46" xfId="0" applyFont="1" applyBorder="1" applyAlignment="1" applyProtection="1">
      <alignment horizontal="left" vertical="center"/>
      <protection hidden="1"/>
    </xf>
    <xf numFmtId="9" fontId="6" fillId="6" borderId="46" xfId="1" applyFont="1" applyFill="1" applyBorder="1" applyAlignment="1" applyProtection="1">
      <alignment horizontal="center" vertical="center" wrapText="1"/>
    </xf>
    <xf numFmtId="9" fontId="6" fillId="2" borderId="46" xfId="1" applyFont="1" applyFill="1" applyBorder="1" applyAlignment="1" applyProtection="1">
      <alignment horizontal="center" vertical="center" wrapText="1"/>
    </xf>
    <xf numFmtId="0" fontId="13" fillId="4" borderId="46" xfId="0" applyFont="1" applyFill="1" applyBorder="1" applyAlignment="1" applyProtection="1">
      <alignment horizontal="left" vertical="center"/>
      <protection locked="0"/>
    </xf>
    <xf numFmtId="10" fontId="6" fillId="0" borderId="46" xfId="0" applyNumberFormat="1" applyFont="1" applyBorder="1" applyAlignment="1" applyProtection="1">
      <alignment horizontal="left" vertical="center"/>
      <protection hidden="1"/>
    </xf>
    <xf numFmtId="0" fontId="6" fillId="0" borderId="46" xfId="0" applyFont="1" applyBorder="1" applyAlignment="1" applyProtection="1">
      <alignment horizontal="left" vertical="center" wrapText="1"/>
      <protection hidden="1"/>
    </xf>
    <xf numFmtId="0" fontId="12" fillId="3" borderId="0" xfId="5" applyFont="1" applyFill="1" applyAlignment="1">
      <alignment horizontal="left"/>
    </xf>
    <xf numFmtId="0" fontId="12" fillId="3" borderId="0" xfId="2" applyFont="1" applyFill="1" applyAlignment="1">
      <alignment horizontal="left"/>
    </xf>
    <xf numFmtId="0" fontId="40" fillId="3" borderId="0" xfId="5" applyFont="1" applyFill="1" applyAlignment="1">
      <alignment horizontal="left"/>
    </xf>
    <xf numFmtId="0" fontId="26" fillId="0" borderId="0" xfId="0" applyFont="1" applyAlignment="1">
      <alignment vertical="top"/>
    </xf>
    <xf numFmtId="0" fontId="11" fillId="3" borderId="0" xfId="0" applyFont="1" applyFill="1" applyAlignment="1">
      <alignment vertical="center"/>
    </xf>
    <xf numFmtId="44" fontId="6" fillId="3" borderId="0" xfId="4" applyNumberFormat="1" applyFill="1" applyAlignment="1">
      <alignment vertical="center" wrapText="1"/>
    </xf>
    <xf numFmtId="4" fontId="12" fillId="3" borderId="50" xfId="0" applyNumberFormat="1" applyFont="1" applyFill="1" applyBorder="1" applyAlignment="1">
      <alignment horizontal="right" vertical="center"/>
    </xf>
    <xf numFmtId="0" fontId="6" fillId="0" borderId="0" xfId="0" applyFont="1" applyAlignment="1" applyProtection="1">
      <alignment horizontal="center" vertical="center"/>
      <protection hidden="1"/>
    </xf>
    <xf numFmtId="49" fontId="1" fillId="4" borderId="46" xfId="0" applyNumberFormat="1" applyFont="1" applyFill="1" applyBorder="1" applyProtection="1">
      <protection locked="0"/>
    </xf>
    <xf numFmtId="0" fontId="13" fillId="4" borderId="47" xfId="0" applyFont="1" applyFill="1" applyBorder="1" applyAlignment="1" applyProtection="1">
      <alignment horizontal="left" vertical="center"/>
      <protection locked="0"/>
    </xf>
    <xf numFmtId="0" fontId="13" fillId="3" borderId="46" xfId="0" applyFont="1" applyFill="1" applyBorder="1" applyAlignment="1">
      <alignment horizontal="left" vertical="center"/>
    </xf>
    <xf numFmtId="49" fontId="1" fillId="0" borderId="0" xfId="0" applyNumberFormat="1" applyFont="1" applyProtection="1">
      <protection locked="0"/>
    </xf>
    <xf numFmtId="49" fontId="1" fillId="0" borderId="46" xfId="0" applyNumberFormat="1" applyFont="1" applyBorder="1" applyProtection="1">
      <protection locked="0"/>
    </xf>
    <xf numFmtId="3" fontId="13" fillId="4" borderId="46" xfId="1" applyNumberFormat="1" applyFont="1" applyFill="1" applyBorder="1" applyAlignment="1" applyProtection="1">
      <alignment vertical="center" wrapText="1"/>
      <protection locked="0"/>
    </xf>
    <xf numFmtId="9" fontId="6" fillId="3" borderId="46" xfId="0" applyNumberFormat="1" applyFont="1" applyFill="1" applyBorder="1" applyAlignment="1" applyProtection="1">
      <alignment horizontal="left" vertical="center"/>
      <protection hidden="1"/>
    </xf>
    <xf numFmtId="10" fontId="6" fillId="0" borderId="0" xfId="0" applyNumberFormat="1" applyFont="1" applyAlignment="1" applyProtection="1">
      <alignment horizontal="left" vertical="center"/>
      <protection hidden="1"/>
    </xf>
    <xf numFmtId="9" fontId="22" fillId="2" borderId="18" xfId="1" applyFont="1" applyFill="1" applyBorder="1" applyAlignment="1" applyProtection="1">
      <alignment horizontal="center" vertical="center" textRotation="90" wrapText="1"/>
      <protection hidden="1"/>
    </xf>
    <xf numFmtId="9" fontId="22" fillId="2" borderId="24" xfId="1" applyFont="1" applyFill="1" applyBorder="1" applyAlignment="1" applyProtection="1">
      <alignment horizontal="center" vertical="center" textRotation="90" wrapText="1"/>
      <protection hidden="1"/>
    </xf>
    <xf numFmtId="9" fontId="22" fillId="2" borderId="51" xfId="1" applyFont="1" applyFill="1" applyBorder="1" applyAlignment="1" applyProtection="1">
      <alignment horizontal="center" vertical="center" textRotation="90" wrapText="1"/>
      <protection hidden="1"/>
    </xf>
    <xf numFmtId="49" fontId="9" fillId="2" borderId="18" xfId="0" applyNumberFormat="1" applyFont="1" applyFill="1" applyBorder="1" applyAlignment="1" applyProtection="1">
      <alignment horizontal="center" vertical="center"/>
      <protection hidden="1"/>
    </xf>
    <xf numFmtId="49" fontId="9" fillId="2" borderId="24" xfId="0" applyNumberFormat="1" applyFont="1" applyFill="1" applyBorder="1" applyAlignment="1" applyProtection="1">
      <alignment horizontal="center" vertical="center"/>
      <protection hidden="1"/>
    </xf>
    <xf numFmtId="49" fontId="9" fillId="2" borderId="51" xfId="0" applyNumberFormat="1" applyFont="1" applyFill="1" applyBorder="1" applyAlignment="1" applyProtection="1">
      <alignment horizontal="center" vertical="center"/>
      <protection hidden="1"/>
    </xf>
    <xf numFmtId="9" fontId="6" fillId="2" borderId="18" xfId="1" applyFont="1" applyFill="1" applyBorder="1" applyAlignment="1" applyProtection="1">
      <alignment horizontal="center" vertical="center" wrapText="1"/>
      <protection hidden="1"/>
    </xf>
    <xf numFmtId="9" fontId="6" fillId="2" borderId="24" xfId="1" applyFont="1" applyFill="1" applyBorder="1" applyAlignment="1" applyProtection="1">
      <alignment horizontal="center" vertical="center" wrapText="1"/>
      <protection hidden="1"/>
    </xf>
    <xf numFmtId="9" fontId="6" fillId="2" borderId="51" xfId="1" applyFont="1" applyFill="1" applyBorder="1" applyAlignment="1" applyProtection="1">
      <alignment horizontal="center" vertical="center" wrapText="1"/>
      <protection hidden="1"/>
    </xf>
    <xf numFmtId="0" fontId="13" fillId="4" borderId="46" xfId="1" applyNumberFormat="1" applyFont="1" applyFill="1" applyBorder="1" applyAlignment="1" applyProtection="1">
      <alignment vertical="center" wrapText="1"/>
      <protection locked="0"/>
    </xf>
    <xf numFmtId="49" fontId="6" fillId="0" borderId="46" xfId="0" applyNumberFormat="1" applyFont="1" applyBorder="1" applyAlignment="1" applyProtection="1">
      <alignment horizontal="left" vertical="center"/>
      <protection hidden="1"/>
    </xf>
    <xf numFmtId="0" fontId="13" fillId="4" borderId="4" xfId="0" applyFont="1" applyFill="1" applyBorder="1" applyAlignment="1" applyProtection="1">
      <alignment horizontal="left" vertical="center"/>
      <protection locked="0"/>
    </xf>
    <xf numFmtId="0" fontId="13" fillId="4" borderId="30" xfId="0" applyFont="1" applyFill="1" applyBorder="1" applyAlignment="1" applyProtection="1">
      <alignment horizontal="left" vertical="center"/>
      <protection locked="0"/>
    </xf>
    <xf numFmtId="0" fontId="4" fillId="2" borderId="46" xfId="0" applyFont="1" applyFill="1" applyBorder="1" applyAlignment="1">
      <alignment horizontal="center" vertical="center" wrapText="1"/>
    </xf>
    <xf numFmtId="0" fontId="1" fillId="2" borderId="46" xfId="0" applyFont="1" applyFill="1" applyBorder="1" applyAlignment="1">
      <alignment horizontal="left" vertical="center" indent="1"/>
    </xf>
    <xf numFmtId="9" fontId="32" fillId="3" borderId="46" xfId="1" applyFont="1" applyFill="1" applyBorder="1" applyAlignment="1" applyProtection="1">
      <alignment horizontal="center" vertical="center" wrapText="1"/>
    </xf>
    <xf numFmtId="9" fontId="32" fillId="3" borderId="46" xfId="1" applyFont="1" applyFill="1" applyBorder="1" applyAlignment="1" applyProtection="1">
      <alignment horizontal="center" vertical="center"/>
    </xf>
    <xf numFmtId="0" fontId="12" fillId="3" borderId="46" xfId="0" applyFont="1" applyFill="1" applyBorder="1" applyAlignment="1">
      <alignment horizontal="center" vertical="center"/>
    </xf>
    <xf numFmtId="1" fontId="21" fillId="3" borderId="46" xfId="1" applyNumberFormat="1" applyFont="1" applyFill="1" applyBorder="1" applyAlignment="1" applyProtection="1">
      <alignment horizontal="center" vertical="center" wrapText="1"/>
    </xf>
    <xf numFmtId="9" fontId="31" fillId="4" borderId="46" xfId="1" applyFont="1" applyFill="1" applyBorder="1" applyAlignment="1" applyProtection="1">
      <alignment horizontal="center" vertical="center"/>
    </xf>
    <xf numFmtId="0" fontId="31" fillId="4" borderId="46" xfId="1" applyNumberFormat="1" applyFont="1" applyFill="1" applyBorder="1" applyAlignment="1" applyProtection="1">
      <alignment vertical="center"/>
    </xf>
    <xf numFmtId="0" fontId="31" fillId="4" borderId="46" xfId="1" applyNumberFormat="1" applyFont="1" applyFill="1" applyBorder="1" applyAlignment="1" applyProtection="1">
      <alignment horizontal="center" vertical="center"/>
    </xf>
    <xf numFmtId="0" fontId="1" fillId="2" borderId="46" xfId="0" applyFont="1" applyFill="1" applyBorder="1" applyAlignment="1" applyProtection="1">
      <alignment horizontal="center" vertical="center"/>
      <protection hidden="1"/>
    </xf>
    <xf numFmtId="10" fontId="8" fillId="0" borderId="46" xfId="0" applyNumberFormat="1" applyFont="1" applyBorder="1" applyAlignment="1" applyProtection="1">
      <alignment horizontal="left" vertical="center"/>
      <protection hidden="1"/>
    </xf>
    <xf numFmtId="0" fontId="12" fillId="3" borderId="0" xfId="0" applyFont="1" applyFill="1" applyAlignment="1">
      <alignment horizontal="left" vertical="center"/>
    </xf>
    <xf numFmtId="49" fontId="13" fillId="4" borderId="15" xfId="0" applyNumberFormat="1" applyFont="1" applyFill="1" applyBorder="1" applyAlignment="1" applyProtection="1">
      <alignment horizontal="left" vertical="center" wrapText="1"/>
      <protection locked="0"/>
    </xf>
    <xf numFmtId="49" fontId="13" fillId="4" borderId="56" xfId="0" applyNumberFormat="1" applyFont="1" applyFill="1" applyBorder="1" applyAlignment="1" applyProtection="1">
      <alignment horizontal="left" vertical="center" wrapText="1"/>
      <protection locked="0"/>
    </xf>
    <xf numFmtId="0" fontId="13" fillId="4" borderId="16" xfId="0" applyFont="1" applyFill="1" applyBorder="1" applyAlignment="1" applyProtection="1">
      <alignment horizontal="left" vertical="center"/>
      <protection locked="0"/>
    </xf>
    <xf numFmtId="0" fontId="13" fillId="4" borderId="51" xfId="0" applyFont="1" applyFill="1" applyBorder="1" applyAlignment="1" applyProtection="1">
      <alignment horizontal="left" vertical="center"/>
      <protection locked="0"/>
    </xf>
    <xf numFmtId="0" fontId="13" fillId="4" borderId="57" xfId="0" applyFont="1" applyFill="1" applyBorder="1" applyAlignment="1" applyProtection="1">
      <alignment horizontal="left" vertical="center"/>
      <protection locked="0"/>
    </xf>
    <xf numFmtId="164" fontId="13" fillId="4" borderId="51" xfId="1" applyNumberFormat="1" applyFont="1" applyFill="1" applyBorder="1" applyAlignment="1" applyProtection="1">
      <alignment vertical="center" wrapText="1"/>
      <protection locked="0"/>
    </xf>
    <xf numFmtId="164" fontId="13" fillId="4" borderId="56" xfId="1" applyNumberFormat="1" applyFont="1" applyFill="1" applyBorder="1" applyAlignment="1" applyProtection="1">
      <alignment vertical="center" wrapText="1"/>
      <protection locked="0"/>
    </xf>
    <xf numFmtId="49" fontId="13" fillId="4" borderId="58" xfId="1" applyNumberFormat="1" applyFont="1" applyFill="1" applyBorder="1" applyAlignment="1" applyProtection="1">
      <alignment vertical="center" wrapText="1"/>
      <protection locked="0"/>
    </xf>
    <xf numFmtId="0" fontId="10" fillId="3" borderId="0" xfId="2" applyFill="1"/>
    <xf numFmtId="0" fontId="2" fillId="3" borderId="0" xfId="5" applyFill="1"/>
    <xf numFmtId="0" fontId="2" fillId="3" borderId="11" xfId="5" applyFill="1" applyBorder="1"/>
    <xf numFmtId="0" fontId="16" fillId="3" borderId="26" xfId="5" applyFont="1" applyFill="1" applyBorder="1"/>
    <xf numFmtId="0" fontId="2" fillId="3" borderId="26" xfId="5" applyFill="1" applyBorder="1"/>
    <xf numFmtId="0" fontId="16" fillId="3" borderId="25" xfId="5" applyFont="1" applyFill="1" applyBorder="1"/>
    <xf numFmtId="0" fontId="10" fillId="3" borderId="12" xfId="2" applyFill="1" applyBorder="1"/>
    <xf numFmtId="0" fontId="10" fillId="3" borderId="28" xfId="2" applyFill="1" applyBorder="1"/>
    <xf numFmtId="0" fontId="14" fillId="3" borderId="0" xfId="2" applyFont="1" applyFill="1" applyAlignment="1">
      <alignment horizontal="left" vertical="top"/>
    </xf>
    <xf numFmtId="0" fontId="13" fillId="3" borderId="0" xfId="4" applyFont="1" applyFill="1" applyAlignment="1">
      <alignment horizontal="left" vertical="top" wrapText="1"/>
    </xf>
    <xf numFmtId="0" fontId="13" fillId="3" borderId="0" xfId="4" applyFont="1" applyFill="1" applyAlignment="1">
      <alignment vertical="top" wrapText="1"/>
    </xf>
    <xf numFmtId="0" fontId="36" fillId="3" borderId="12" xfId="2" applyFont="1" applyFill="1" applyBorder="1"/>
    <xf numFmtId="0" fontId="37" fillId="3" borderId="0" xfId="2" applyFont="1" applyFill="1" applyAlignment="1">
      <alignment horizontal="left" vertical="top"/>
    </xf>
    <xf numFmtId="0" fontId="38" fillId="3" borderId="0" xfId="5" applyFont="1" applyFill="1"/>
    <xf numFmtId="0" fontId="36" fillId="3" borderId="28" xfId="2" applyFont="1" applyFill="1" applyBorder="1"/>
    <xf numFmtId="0" fontId="13" fillId="3" borderId="0" xfId="4" applyFont="1" applyFill="1" applyAlignment="1">
      <alignment horizontal="left" vertical="center" wrapText="1"/>
    </xf>
    <xf numFmtId="44" fontId="13" fillId="3" borderId="19" xfId="4" applyNumberFormat="1" applyFont="1" applyFill="1" applyBorder="1" applyAlignment="1" applyProtection="1">
      <alignment horizontal="left" vertical="center" wrapText="1"/>
      <protection locked="0"/>
    </xf>
    <xf numFmtId="0" fontId="10" fillId="3" borderId="13" xfId="2" applyFill="1" applyBorder="1"/>
    <xf numFmtId="0" fontId="12" fillId="3" borderId="31" xfId="2" applyFont="1" applyFill="1" applyBorder="1"/>
    <xf numFmtId="0" fontId="13" fillId="3" borderId="31" xfId="4" applyFont="1" applyFill="1" applyBorder="1" applyAlignment="1">
      <alignment vertical="top" wrapText="1"/>
    </xf>
    <xf numFmtId="0" fontId="10" fillId="3" borderId="14" xfId="2" applyFill="1" applyBorder="1"/>
    <xf numFmtId="0" fontId="30" fillId="3" borderId="0" xfId="2" applyFont="1" applyFill="1"/>
    <xf numFmtId="0" fontId="30" fillId="3" borderId="11" xfId="2" applyFont="1" applyFill="1" applyBorder="1"/>
    <xf numFmtId="0" fontId="8" fillId="3" borderId="26" xfId="4" applyFont="1" applyFill="1" applyBorder="1" applyAlignment="1">
      <alignment vertical="top"/>
    </xf>
    <xf numFmtId="0" fontId="6" fillId="3" borderId="26" xfId="0" applyFont="1" applyFill="1" applyBorder="1"/>
    <xf numFmtId="0" fontId="6" fillId="3" borderId="26" xfId="4" applyFill="1" applyBorder="1" applyAlignment="1">
      <alignment vertical="top" wrapText="1"/>
    </xf>
    <xf numFmtId="0" fontId="30" fillId="3" borderId="26" xfId="2" applyFont="1" applyFill="1" applyBorder="1"/>
    <xf numFmtId="0" fontId="30" fillId="3" borderId="25" xfId="2" applyFont="1" applyFill="1" applyBorder="1"/>
    <xf numFmtId="0" fontId="30" fillId="3" borderId="12" xfId="2" applyFont="1" applyFill="1" applyBorder="1"/>
    <xf numFmtId="0" fontId="8" fillId="3" borderId="0" xfId="4" applyFont="1" applyFill="1" applyAlignment="1">
      <alignment vertical="top"/>
    </xf>
    <xf numFmtId="0" fontId="6" fillId="3" borderId="0" xfId="0" applyFont="1" applyFill="1"/>
    <xf numFmtId="0" fontId="6" fillId="3" borderId="0" xfId="4" applyFill="1" applyAlignment="1">
      <alignment vertical="top" wrapText="1"/>
    </xf>
    <xf numFmtId="0" fontId="30" fillId="3" borderId="28" xfId="2" applyFont="1" applyFill="1" applyBorder="1"/>
    <xf numFmtId="0" fontId="25" fillId="3" borderId="6" xfId="0" applyFont="1" applyFill="1" applyBorder="1" applyAlignment="1">
      <alignment vertical="center" wrapText="1"/>
    </xf>
    <xf numFmtId="0" fontId="12" fillId="3" borderId="2" xfId="0" applyFont="1" applyFill="1" applyBorder="1" applyAlignment="1">
      <alignment horizontal="right" vertical="center" wrapText="1"/>
    </xf>
    <xf numFmtId="0" fontId="12" fillId="3" borderId="8" xfId="0" applyFont="1" applyFill="1" applyBorder="1" applyAlignment="1">
      <alignment horizontal="right" vertical="center" wrapText="1"/>
    </xf>
    <xf numFmtId="0" fontId="12" fillId="3" borderId="20" xfId="0" applyFont="1" applyFill="1" applyBorder="1" applyAlignment="1">
      <alignment horizontal="left" vertical="center" wrapText="1" indent="1"/>
    </xf>
    <xf numFmtId="0" fontId="12" fillId="3" borderId="21" xfId="0" applyFont="1" applyFill="1" applyBorder="1" applyAlignment="1">
      <alignment horizontal="left" vertical="center" wrapText="1" indent="1"/>
    </xf>
    <xf numFmtId="0" fontId="12" fillId="3" borderId="23" xfId="0" applyFont="1" applyFill="1" applyBorder="1" applyAlignment="1">
      <alignment horizontal="right" vertical="center" wrapText="1"/>
    </xf>
    <xf numFmtId="0" fontId="34" fillId="3" borderId="41" xfId="0" applyFont="1" applyFill="1" applyBorder="1" applyAlignment="1">
      <alignment horizontal="centerContinuous" vertical="center"/>
    </xf>
    <xf numFmtId="0" fontId="35" fillId="3" borderId="6" xfId="0" applyFont="1" applyFill="1" applyBorder="1" applyAlignment="1">
      <alignment horizontal="centerContinuous" vertical="top" wrapText="1"/>
    </xf>
    <xf numFmtId="0" fontId="34" fillId="3" borderId="6" xfId="0" applyFont="1" applyFill="1" applyBorder="1" applyAlignment="1">
      <alignment horizontal="centerContinuous" vertical="center" wrapText="1"/>
    </xf>
    <xf numFmtId="0" fontId="34" fillId="3" borderId="2" xfId="0" applyFont="1" applyFill="1" applyBorder="1" applyAlignment="1">
      <alignment horizontal="centerContinuous" vertical="center" wrapText="1"/>
    </xf>
    <xf numFmtId="0" fontId="25" fillId="3" borderId="6" xfId="0" applyFont="1" applyFill="1" applyBorder="1" applyAlignment="1">
      <alignment vertical="top" wrapText="1"/>
    </xf>
    <xf numFmtId="0" fontId="12" fillId="3" borderId="52" xfId="0" applyFont="1" applyFill="1" applyBorder="1" applyAlignment="1">
      <alignment horizontal="left" vertical="center" wrapText="1" indent="1"/>
    </xf>
    <xf numFmtId="0" fontId="12" fillId="3" borderId="17" xfId="0" applyFont="1" applyFill="1" applyBorder="1" applyAlignment="1">
      <alignment horizontal="right" vertical="center" wrapText="1"/>
    </xf>
    <xf numFmtId="0" fontId="13" fillId="3" borderId="20" xfId="0" applyFont="1" applyFill="1" applyBorder="1" applyAlignment="1">
      <alignment horizontal="left" vertical="center" wrapText="1" indent="1"/>
    </xf>
    <xf numFmtId="0" fontId="34" fillId="3" borderId="42" xfId="0" applyFont="1" applyFill="1" applyBorder="1" applyAlignment="1">
      <alignment horizontal="centerContinuous" vertical="center"/>
    </xf>
    <xf numFmtId="0" fontId="34" fillId="3" borderId="4" xfId="0" applyFont="1" applyFill="1" applyBorder="1" applyAlignment="1">
      <alignment horizontal="centerContinuous" vertical="center" wrapText="1"/>
    </xf>
    <xf numFmtId="0" fontId="34" fillId="3" borderId="8" xfId="0" applyFont="1" applyFill="1" applyBorder="1" applyAlignment="1">
      <alignment horizontal="centerContinuous" vertical="center" wrapText="1"/>
    </xf>
    <xf numFmtId="0" fontId="12" fillId="3" borderId="53" xfId="0" applyFont="1" applyFill="1" applyBorder="1" applyAlignment="1">
      <alignment horizontal="left" vertical="center" wrapText="1" indent="1"/>
    </xf>
    <xf numFmtId="0" fontId="35" fillId="3" borderId="37" xfId="0" applyFont="1" applyFill="1" applyBorder="1" applyAlignment="1">
      <alignment horizontal="centerContinuous" vertical="top" wrapText="1"/>
    </xf>
    <xf numFmtId="0" fontId="34" fillId="3" borderId="21" xfId="0" applyFont="1" applyFill="1" applyBorder="1" applyAlignment="1">
      <alignment horizontal="centerContinuous" vertical="center" wrapText="1"/>
    </xf>
    <xf numFmtId="0" fontId="25" fillId="3" borderId="39" xfId="0" applyFont="1" applyFill="1" applyBorder="1" applyAlignment="1">
      <alignment vertical="top" wrapText="1"/>
    </xf>
    <xf numFmtId="0" fontId="12" fillId="3" borderId="3" xfId="0" applyFont="1" applyFill="1" applyBorder="1" applyAlignment="1">
      <alignment horizontal="right" vertical="center" wrapText="1"/>
    </xf>
    <xf numFmtId="0" fontId="12" fillId="3" borderId="37" xfId="0" applyFont="1" applyFill="1" applyBorder="1" applyAlignment="1">
      <alignment horizontal="left" vertical="center" wrapText="1" indent="1"/>
    </xf>
    <xf numFmtId="0" fontId="12" fillId="3" borderId="34" xfId="0" applyFont="1" applyFill="1" applyBorder="1" applyAlignment="1">
      <alignment vertical="center" wrapText="1"/>
    </xf>
    <xf numFmtId="0" fontId="12" fillId="3" borderId="44" xfId="0" applyFont="1" applyFill="1" applyBorder="1" applyAlignment="1">
      <alignment horizontal="left" vertical="center" wrapText="1" indent="1"/>
    </xf>
    <xf numFmtId="0" fontId="12" fillId="3" borderId="35" xfId="0" applyFont="1" applyFill="1" applyBorder="1" applyAlignment="1">
      <alignment horizontal="left" vertical="center" wrapText="1" indent="1"/>
    </xf>
    <xf numFmtId="0" fontId="30" fillId="3" borderId="13" xfId="2" applyFont="1" applyFill="1" applyBorder="1"/>
    <xf numFmtId="0" fontId="2" fillId="3" borderId="31" xfId="5" applyFill="1" applyBorder="1"/>
    <xf numFmtId="0" fontId="2" fillId="3" borderId="31" xfId="5" applyFill="1" applyBorder="1" applyAlignment="1">
      <alignment horizontal="center"/>
    </xf>
    <xf numFmtId="0" fontId="30" fillId="3" borderId="14" xfId="2" applyFont="1" applyFill="1" applyBorder="1"/>
    <xf numFmtId="0" fontId="10" fillId="7" borderId="0" xfId="2" applyFill="1"/>
    <xf numFmtId="0" fontId="2" fillId="7" borderId="0" xfId="5" applyFill="1"/>
    <xf numFmtId="0" fontId="2" fillId="7" borderId="0" xfId="5" applyFill="1" applyAlignment="1">
      <alignment horizontal="left"/>
    </xf>
    <xf numFmtId="0" fontId="15" fillId="7" borderId="0" xfId="5" applyFont="1" applyFill="1"/>
    <xf numFmtId="0" fontId="2" fillId="7" borderId="0" xfId="6" applyFont="1" applyFill="1" applyAlignment="1">
      <alignment vertical="center"/>
    </xf>
    <xf numFmtId="0" fontId="36" fillId="7" borderId="0" xfId="2" applyFont="1" applyFill="1"/>
    <xf numFmtId="0" fontId="38" fillId="7" borderId="0" xfId="5" applyFont="1" applyFill="1"/>
    <xf numFmtId="0" fontId="30" fillId="7" borderId="0" xfId="2" applyFont="1" applyFill="1"/>
    <xf numFmtId="0" fontId="30" fillId="7" borderId="10" xfId="2" applyFont="1" applyFill="1" applyBorder="1"/>
    <xf numFmtId="0" fontId="21" fillId="7" borderId="10" xfId="2" applyFont="1" applyFill="1" applyBorder="1" applyAlignment="1">
      <alignment horizontal="left" vertical="top"/>
    </xf>
    <xf numFmtId="0" fontId="6" fillId="7" borderId="10" xfId="0" applyFont="1" applyFill="1" applyBorder="1"/>
    <xf numFmtId="0" fontId="13" fillId="7" borderId="10" xfId="4" applyFont="1" applyFill="1" applyBorder="1" applyAlignment="1">
      <alignment vertical="top" wrapText="1"/>
    </xf>
    <xf numFmtId="0" fontId="6" fillId="7" borderId="0" xfId="0" applyFont="1" applyFill="1" applyAlignment="1">
      <alignment horizontal="left"/>
    </xf>
    <xf numFmtId="0" fontId="0" fillId="7" borderId="0" xfId="0" applyFill="1"/>
    <xf numFmtId="0" fontId="0" fillId="7" borderId="0" xfId="0" applyFill="1" applyAlignment="1">
      <alignment horizontal="center"/>
    </xf>
    <xf numFmtId="0" fontId="18" fillId="7" borderId="0" xfId="5" applyFont="1" applyFill="1" applyAlignment="1">
      <alignment vertical="top"/>
    </xf>
    <xf numFmtId="0" fontId="2" fillId="7" borderId="0" xfId="5" applyFill="1" applyAlignment="1">
      <alignment horizontal="center"/>
    </xf>
    <xf numFmtId="0" fontId="19" fillId="7" borderId="0" xfId="5" applyFont="1" applyFill="1" applyAlignment="1">
      <alignment vertical="top"/>
    </xf>
    <xf numFmtId="9" fontId="2" fillId="7" borderId="0" xfId="5" applyNumberFormat="1" applyFill="1"/>
    <xf numFmtId="0" fontId="1" fillId="7" borderId="0" xfId="5" applyFont="1" applyFill="1" applyAlignment="1">
      <alignment horizontal="centerContinuous"/>
    </xf>
    <xf numFmtId="0" fontId="2" fillId="7" borderId="0" xfId="5" applyFill="1" applyAlignment="1">
      <alignment horizontal="centerContinuous"/>
    </xf>
    <xf numFmtId="0" fontId="33" fillId="7" borderId="0" xfId="7" applyFont="1" applyFill="1" applyAlignment="1">
      <alignment horizontal="right" vertical="center"/>
    </xf>
    <xf numFmtId="0" fontId="33" fillId="7" borderId="0" xfId="4" applyFont="1" applyFill="1" applyAlignment="1">
      <alignment horizontal="right" vertical="center"/>
    </xf>
    <xf numFmtId="0" fontId="14" fillId="7" borderId="4" xfId="0" applyFont="1" applyFill="1" applyBorder="1" applyAlignment="1">
      <alignment horizontal="center" vertical="center" wrapText="1"/>
    </xf>
    <xf numFmtId="0" fontId="12" fillId="7" borderId="4" xfId="0" applyFont="1" applyFill="1" applyBorder="1" applyAlignment="1">
      <alignment horizontal="left" vertical="center" wrapText="1"/>
    </xf>
    <xf numFmtId="0" fontId="43" fillId="7" borderId="0" xfId="5" applyFont="1" applyFill="1" applyAlignment="1">
      <alignment horizontal="left" wrapText="1"/>
    </xf>
    <xf numFmtId="0" fontId="2" fillId="7" borderId="0" xfId="5" applyFill="1" applyAlignment="1">
      <alignment horizontal="left" wrapText="1"/>
    </xf>
    <xf numFmtId="0" fontId="10" fillId="7" borderId="0" xfId="2" applyFill="1" applyAlignment="1">
      <alignment horizontal="left" wrapText="1"/>
    </xf>
    <xf numFmtId="0" fontId="38" fillId="7" borderId="0" xfId="5" applyFont="1" applyFill="1" applyAlignment="1">
      <alignment horizontal="left" wrapText="1"/>
    </xf>
    <xf numFmtId="0" fontId="6" fillId="7" borderId="0" xfId="0" applyFont="1" applyFill="1" applyAlignment="1">
      <alignment horizontal="left" wrapText="1"/>
    </xf>
    <xf numFmtId="0" fontId="2" fillId="7" borderId="0" xfId="5" applyFill="1" applyAlignment="1">
      <alignment wrapText="1"/>
    </xf>
    <xf numFmtId="0" fontId="2" fillId="7" borderId="0" xfId="5" applyFill="1" applyAlignment="1">
      <alignment horizontal="center" wrapText="1"/>
    </xf>
    <xf numFmtId="4" fontId="2" fillId="7" borderId="0" xfId="5" applyNumberFormat="1" applyFill="1" applyAlignment="1">
      <alignment horizontal="center" wrapText="1"/>
    </xf>
    <xf numFmtId="0" fontId="12" fillId="7" borderId="4" xfId="5" applyFont="1" applyFill="1" applyBorder="1" applyAlignment="1">
      <alignment horizontal="center" vertical="center" wrapText="1"/>
    </xf>
    <xf numFmtId="0" fontId="2" fillId="7" borderId="0" xfId="5" applyFill="1" applyAlignment="1">
      <alignment horizontal="left" vertical="center" wrapText="1"/>
    </xf>
    <xf numFmtId="0" fontId="12" fillId="7" borderId="4" xfId="5" applyFont="1" applyFill="1" applyBorder="1" applyAlignment="1">
      <alignment horizontal="left" vertical="center" wrapText="1"/>
    </xf>
    <xf numFmtId="0" fontId="42" fillId="7" borderId="0" xfId="0" applyFont="1" applyFill="1" applyAlignment="1">
      <alignment wrapText="1"/>
    </xf>
    <xf numFmtId="0" fontId="14" fillId="7" borderId="20" xfId="0" applyFont="1" applyFill="1" applyBorder="1" applyAlignment="1">
      <alignment horizontal="center" vertical="center" wrapText="1"/>
    </xf>
    <xf numFmtId="0" fontId="43" fillId="7" borderId="20" xfId="0" applyFont="1" applyFill="1" applyBorder="1" applyAlignment="1">
      <alignment vertical="center" wrapText="1"/>
    </xf>
    <xf numFmtId="0" fontId="12" fillId="7" borderId="20" xfId="0" applyFont="1" applyFill="1" applyBorder="1" applyAlignment="1">
      <alignment vertical="center" wrapText="1"/>
    </xf>
    <xf numFmtId="0" fontId="43" fillId="7" borderId="4" xfId="0" applyFont="1" applyFill="1" applyBorder="1" applyAlignment="1">
      <alignment horizontal="left" vertical="center" wrapText="1"/>
    </xf>
    <xf numFmtId="0" fontId="1" fillId="7" borderId="0" xfId="0" applyFont="1" applyFill="1" applyAlignment="1">
      <alignment wrapText="1"/>
    </xf>
    <xf numFmtId="0" fontId="12" fillId="7" borderId="0" xfId="0" applyFont="1" applyFill="1" applyAlignment="1">
      <alignment horizontal="left" vertical="center" wrapText="1"/>
    </xf>
    <xf numFmtId="0" fontId="1" fillId="7" borderId="0" xfId="5" applyFont="1" applyFill="1" applyAlignment="1">
      <alignment horizontal="left" wrapText="1"/>
    </xf>
    <xf numFmtId="0" fontId="41" fillId="7" borderId="0" xfId="0" applyFont="1" applyFill="1" applyAlignment="1" applyProtection="1">
      <alignment wrapText="1"/>
      <protection locked="0"/>
    </xf>
    <xf numFmtId="0" fontId="41" fillId="7" borderId="0" xfId="0" applyFont="1" applyFill="1" applyAlignment="1">
      <alignment wrapText="1"/>
    </xf>
    <xf numFmtId="0" fontId="1" fillId="7" borderId="0" xfId="5" applyFont="1" applyFill="1" applyAlignment="1">
      <alignment horizontal="center" wrapText="1"/>
    </xf>
    <xf numFmtId="0" fontId="10" fillId="7" borderId="0" xfId="2" applyFill="1" applyAlignment="1">
      <alignment wrapText="1"/>
    </xf>
    <xf numFmtId="0" fontId="38" fillId="7" borderId="0" xfId="5" applyFont="1" applyFill="1" applyAlignment="1">
      <alignment wrapText="1"/>
    </xf>
    <xf numFmtId="0" fontId="14" fillId="7" borderId="4" xfId="0" applyFont="1" applyFill="1" applyBorder="1" applyAlignment="1">
      <alignment horizontal="left" vertical="top" wrapText="1"/>
    </xf>
    <xf numFmtId="0" fontId="12" fillId="7" borderId="4" xfId="0" applyFont="1" applyFill="1" applyBorder="1" applyAlignment="1">
      <alignment horizontal="center" vertical="center" wrapText="1"/>
    </xf>
    <xf numFmtId="0" fontId="12" fillId="7" borderId="4" xfId="0" applyFont="1" applyFill="1" applyBorder="1" applyAlignment="1">
      <alignment horizontal="left" vertical="top" wrapText="1"/>
    </xf>
    <xf numFmtId="0" fontId="1" fillId="7" borderId="0" xfId="5" applyFont="1" applyFill="1" applyAlignment="1">
      <alignment horizontal="left" vertical="top" wrapText="1"/>
    </xf>
    <xf numFmtId="9" fontId="22" fillId="2" borderId="18" xfId="1" applyFont="1" applyFill="1" applyBorder="1" applyAlignment="1" applyProtection="1">
      <alignment vertical="center" textRotation="90" wrapText="1"/>
      <protection hidden="1"/>
    </xf>
    <xf numFmtId="9" fontId="22" fillId="2" borderId="24" xfId="1" applyFont="1" applyFill="1" applyBorder="1" applyAlignment="1" applyProtection="1">
      <alignment vertical="center" textRotation="90" wrapText="1"/>
      <protection hidden="1"/>
    </xf>
    <xf numFmtId="9" fontId="22" fillId="2" borderId="51" xfId="1" applyFont="1" applyFill="1" applyBorder="1" applyAlignment="1" applyProtection="1">
      <alignment vertical="center" textRotation="90" wrapText="1"/>
      <protection hidden="1"/>
    </xf>
    <xf numFmtId="49" fontId="9" fillId="2" borderId="18" xfId="0" applyNumberFormat="1" applyFont="1" applyFill="1" applyBorder="1" applyAlignment="1" applyProtection="1">
      <alignment vertical="center"/>
      <protection hidden="1"/>
    </xf>
    <xf numFmtId="49" fontId="9" fillId="2" borderId="24" xfId="0" applyNumberFormat="1" applyFont="1" applyFill="1" applyBorder="1" applyAlignment="1" applyProtection="1">
      <alignment vertical="center"/>
      <protection hidden="1"/>
    </xf>
    <xf numFmtId="49" fontId="9" fillId="2" borderId="51" xfId="0" applyNumberFormat="1" applyFont="1" applyFill="1" applyBorder="1" applyAlignment="1" applyProtection="1">
      <alignment vertical="center"/>
      <protection hidden="1"/>
    </xf>
    <xf numFmtId="9" fontId="6" fillId="2" borderId="18" xfId="1" applyFont="1" applyFill="1" applyBorder="1" applyAlignment="1" applyProtection="1">
      <alignment vertical="center" wrapText="1"/>
      <protection hidden="1"/>
    </xf>
    <xf numFmtId="9" fontId="6" fillId="2" borderId="24" xfId="1" applyFont="1" applyFill="1" applyBorder="1" applyAlignment="1" applyProtection="1">
      <alignment vertical="center" wrapText="1"/>
      <protection hidden="1"/>
    </xf>
    <xf numFmtId="9" fontId="6" fillId="2" borderId="51" xfId="1" applyFont="1" applyFill="1" applyBorder="1" applyAlignment="1" applyProtection="1">
      <alignment vertical="center" wrapText="1"/>
      <protection hidden="1"/>
    </xf>
    <xf numFmtId="0" fontId="1" fillId="7" borderId="0" xfId="6" applyFont="1" applyFill="1" applyAlignment="1">
      <alignment vertical="center"/>
    </xf>
    <xf numFmtId="0" fontId="1" fillId="3" borderId="12" xfId="6" applyFont="1" applyFill="1" applyBorder="1" applyAlignment="1">
      <alignment vertical="center"/>
    </xf>
    <xf numFmtId="0" fontId="1" fillId="3" borderId="0" xfId="6" applyFont="1" applyFill="1" applyAlignment="1">
      <alignment vertical="center"/>
    </xf>
    <xf numFmtId="0" fontId="1" fillId="3" borderId="28" xfId="6" applyFont="1" applyFill="1" applyBorder="1" applyAlignment="1">
      <alignment vertical="center"/>
    </xf>
    <xf numFmtId="0" fontId="1" fillId="7" borderId="0" xfId="0" applyFont="1" applyFill="1" applyAlignment="1">
      <alignment vertical="center" wrapText="1"/>
    </xf>
    <xf numFmtId="0" fontId="1" fillId="7" borderId="0" xfId="6" applyFont="1" applyFill="1" applyAlignment="1">
      <alignment vertical="center" wrapText="1"/>
    </xf>
    <xf numFmtId="0" fontId="1" fillId="2" borderId="40" xfId="0" applyFont="1" applyFill="1" applyBorder="1" applyAlignment="1">
      <alignment horizontal="center" vertical="center" wrapText="1"/>
    </xf>
    <xf numFmtId="0" fontId="1" fillId="3" borderId="42" xfId="0" applyFont="1" applyFill="1" applyBorder="1" applyAlignment="1">
      <alignment vertical="center" textRotation="90" wrapText="1"/>
    </xf>
    <xf numFmtId="0" fontId="1" fillId="3" borderId="43" xfId="0" applyFont="1" applyFill="1" applyBorder="1" applyAlignment="1">
      <alignment vertical="center" textRotation="90" wrapText="1"/>
    </xf>
    <xf numFmtId="0" fontId="1" fillId="5" borderId="0" xfId="0" applyFont="1" applyFill="1" applyProtection="1">
      <protection hidden="1"/>
    </xf>
    <xf numFmtId="0" fontId="1" fillId="2" borderId="46" xfId="0" applyFont="1" applyFill="1" applyBorder="1" applyAlignment="1" applyProtection="1">
      <alignment horizontal="left" vertical="center"/>
      <protection hidden="1"/>
    </xf>
    <xf numFmtId="0" fontId="1" fillId="0" borderId="0" xfId="0" applyFont="1" applyAlignment="1" applyProtection="1">
      <alignment horizontal="left" vertical="center"/>
      <protection hidden="1"/>
    </xf>
    <xf numFmtId="49" fontId="1" fillId="0" borderId="0" xfId="0" applyNumberFormat="1" applyFont="1" applyProtection="1">
      <protection hidden="1"/>
    </xf>
    <xf numFmtId="0" fontId="1" fillId="0" borderId="33" xfId="0" applyFont="1" applyBorder="1" applyProtection="1">
      <protection hidden="1"/>
    </xf>
    <xf numFmtId="0" fontId="1" fillId="0" borderId="55" xfId="0" applyFont="1" applyBorder="1" applyProtection="1">
      <protection hidden="1"/>
    </xf>
    <xf numFmtId="0" fontId="1" fillId="0" borderId="50" xfId="0" applyFont="1" applyBorder="1" applyProtection="1">
      <protection hidden="1"/>
    </xf>
    <xf numFmtId="0" fontId="1" fillId="0" borderId="54" xfId="0" applyFont="1" applyBorder="1" applyProtection="1">
      <protection hidden="1"/>
    </xf>
    <xf numFmtId="0" fontId="1" fillId="2" borderId="26" xfId="0" applyFont="1" applyFill="1" applyBorder="1" applyAlignment="1" applyProtection="1">
      <alignment horizontal="left" vertical="center"/>
      <protection hidden="1"/>
    </xf>
    <xf numFmtId="0" fontId="1" fillId="3" borderId="0" xfId="0" applyFont="1" applyFill="1"/>
    <xf numFmtId="0" fontId="1" fillId="4" borderId="0" xfId="0" applyFont="1" applyFill="1"/>
    <xf numFmtId="0" fontId="1" fillId="4" borderId="0" xfId="0" applyFont="1" applyFill="1" applyAlignment="1">
      <alignment vertical="center"/>
    </xf>
    <xf numFmtId="0" fontId="1" fillId="3" borderId="12" xfId="0" applyFont="1" applyFill="1" applyBorder="1" applyAlignment="1">
      <alignment vertical="center"/>
    </xf>
    <xf numFmtId="0" fontId="1" fillId="3" borderId="0" xfId="0" applyFont="1" applyFill="1" applyAlignment="1">
      <alignment horizontal="center" vertical="center"/>
    </xf>
    <xf numFmtId="0" fontId="1" fillId="3" borderId="28" xfId="0" applyFont="1" applyFill="1" applyBorder="1"/>
    <xf numFmtId="0" fontId="1" fillId="4" borderId="0" xfId="0" applyFont="1" applyFill="1" applyAlignment="1">
      <alignment horizontal="center" vertical="center" wrapText="1"/>
    </xf>
    <xf numFmtId="0" fontId="1" fillId="3" borderId="12" xfId="0" applyFont="1" applyFill="1" applyBorder="1" applyAlignment="1">
      <alignment horizontal="center" vertical="center"/>
    </xf>
    <xf numFmtId="0" fontId="1" fillId="3" borderId="0" xfId="0" applyFont="1" applyFill="1" applyAlignment="1">
      <alignment horizontal="left" vertical="center"/>
    </xf>
    <xf numFmtId="0" fontId="1" fillId="3" borderId="28" xfId="0" applyFont="1" applyFill="1" applyBorder="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left" vertical="center" indent="1"/>
    </xf>
    <xf numFmtId="0" fontId="1" fillId="3" borderId="13" xfId="0" applyFont="1" applyFill="1" applyBorder="1"/>
    <xf numFmtId="0" fontId="1" fillId="3" borderId="31" xfId="0" applyFont="1" applyFill="1" applyBorder="1"/>
    <xf numFmtId="0" fontId="1" fillId="3" borderId="31" xfId="0" applyFont="1" applyFill="1" applyBorder="1" applyAlignment="1">
      <alignment wrapText="1"/>
    </xf>
    <xf numFmtId="0" fontId="1" fillId="3" borderId="14" xfId="0" applyFont="1" applyFill="1" applyBorder="1"/>
    <xf numFmtId="0" fontId="1" fillId="4" borderId="0" xfId="0" applyFont="1" applyFill="1" applyAlignment="1">
      <alignment wrapText="1"/>
    </xf>
    <xf numFmtId="0" fontId="1" fillId="2" borderId="51" xfId="0" applyFont="1" applyFill="1" applyBorder="1" applyAlignment="1" applyProtection="1">
      <alignment horizontal="left" vertical="center"/>
      <protection hidden="1"/>
    </xf>
    <xf numFmtId="49" fontId="13" fillId="4" borderId="46" xfId="1" applyNumberFormat="1" applyFont="1" applyFill="1" applyBorder="1" applyAlignment="1" applyProtection="1">
      <alignment vertical="top" wrapText="1"/>
      <protection locked="0"/>
    </xf>
    <xf numFmtId="0" fontId="1" fillId="5" borderId="0" xfId="0" applyFont="1" applyFill="1"/>
    <xf numFmtId="165" fontId="13" fillId="4" borderId="46" xfId="1" applyNumberFormat="1" applyFont="1" applyFill="1" applyBorder="1" applyAlignment="1" applyProtection="1">
      <alignment vertical="center" wrapText="1"/>
      <protection locked="0"/>
    </xf>
    <xf numFmtId="0" fontId="45" fillId="0" borderId="0" xfId="0" applyFont="1"/>
    <xf numFmtId="0" fontId="13" fillId="0" borderId="46" xfId="1" applyNumberFormat="1" applyFont="1" applyFill="1" applyBorder="1" applyAlignment="1" applyProtection="1">
      <alignment vertical="center" wrapText="1"/>
      <protection hidden="1"/>
    </xf>
    <xf numFmtId="0" fontId="13" fillId="4" borderId="46" xfId="1" applyNumberFormat="1" applyFont="1" applyFill="1" applyBorder="1" applyAlignment="1" applyProtection="1">
      <alignment vertical="center"/>
      <protection locked="0"/>
    </xf>
    <xf numFmtId="164" fontId="13" fillId="4" borderId="46" xfId="1" applyNumberFormat="1" applyFont="1" applyFill="1" applyBorder="1" applyAlignment="1" applyProtection="1">
      <alignment vertical="center"/>
      <protection locked="0"/>
    </xf>
    <xf numFmtId="3" fontId="13" fillId="4" borderId="46" xfId="1" applyNumberFormat="1" applyFont="1" applyFill="1" applyBorder="1" applyAlignment="1" applyProtection="1">
      <alignment vertical="center"/>
      <protection locked="0"/>
    </xf>
    <xf numFmtId="164" fontId="13" fillId="4" borderId="46" xfId="1" applyNumberFormat="1" applyFont="1" applyFill="1" applyBorder="1" applyAlignment="1" applyProtection="1">
      <alignment horizontal="center" vertical="center"/>
      <protection locked="0"/>
    </xf>
    <xf numFmtId="4" fontId="13" fillId="4" borderId="46" xfId="1" applyNumberFormat="1" applyFont="1" applyFill="1" applyBorder="1" applyAlignment="1" applyProtection="1">
      <alignment vertical="center"/>
      <protection locked="0"/>
    </xf>
    <xf numFmtId="0" fontId="12" fillId="3" borderId="20" xfId="0" applyFont="1" applyFill="1" applyBorder="1" applyAlignment="1">
      <alignment horizontal="left" vertical="center" wrapText="1" indent="1"/>
    </xf>
    <xf numFmtId="0" fontId="12" fillId="3" borderId="21" xfId="0" applyFont="1" applyFill="1" applyBorder="1" applyAlignment="1">
      <alignment horizontal="left" vertical="center" wrapText="1" indent="1"/>
    </xf>
    <xf numFmtId="0" fontId="12" fillId="3" borderId="4" xfId="0" applyFont="1" applyFill="1" applyBorder="1" applyAlignment="1">
      <alignment horizontal="left" vertical="center" wrapText="1" indent="1"/>
    </xf>
    <xf numFmtId="0" fontId="1" fillId="3" borderId="11" xfId="0" applyFont="1" applyFill="1" applyBorder="1" applyAlignment="1">
      <alignment horizontal="center" vertical="center" textRotation="90" wrapText="1"/>
    </xf>
    <xf numFmtId="0" fontId="1" fillId="3" borderId="41" xfId="0" applyFont="1" applyFill="1" applyBorder="1" applyAlignment="1">
      <alignment horizontal="center" vertical="center" textRotation="90" wrapText="1"/>
    </xf>
    <xf numFmtId="0" fontId="1" fillId="3" borderId="12" xfId="0" applyFont="1" applyFill="1" applyBorder="1" applyAlignment="1">
      <alignment horizontal="center" vertical="center" textRotation="90" wrapText="1"/>
    </xf>
    <xf numFmtId="0" fontId="1" fillId="3" borderId="42" xfId="0" applyFont="1" applyFill="1" applyBorder="1" applyAlignment="1">
      <alignment horizontal="center" vertical="center" textRotation="90" wrapText="1"/>
    </xf>
    <xf numFmtId="0" fontId="1" fillId="3" borderId="13" xfId="0" applyFont="1" applyFill="1" applyBorder="1" applyAlignment="1">
      <alignment horizontal="center" vertical="center" textRotation="90" wrapText="1"/>
    </xf>
    <xf numFmtId="0" fontId="1" fillId="3" borderId="43" xfId="0" applyFont="1" applyFill="1" applyBorder="1" applyAlignment="1">
      <alignment horizontal="center" vertical="center" textRotation="90" wrapText="1"/>
    </xf>
    <xf numFmtId="0" fontId="12" fillId="3" borderId="44" xfId="0" applyFont="1" applyFill="1" applyBorder="1" applyAlignment="1">
      <alignment horizontal="left" vertical="center" wrapText="1" indent="1"/>
    </xf>
    <xf numFmtId="0" fontId="12" fillId="3" borderId="35" xfId="0" applyFont="1" applyFill="1" applyBorder="1" applyAlignment="1">
      <alignment horizontal="left" vertical="center" wrapText="1" indent="1"/>
    </xf>
    <xf numFmtId="0" fontId="17" fillId="3" borderId="0" xfId="5" applyFont="1" applyFill="1" applyAlignment="1">
      <alignment horizontal="left" vertical="top" wrapText="1"/>
    </xf>
    <xf numFmtId="0" fontId="13" fillId="3" borderId="0" xfId="4" applyFont="1" applyFill="1" applyAlignment="1">
      <alignment horizontal="left" vertical="top" wrapText="1"/>
    </xf>
    <xf numFmtId="0" fontId="13" fillId="3" borderId="0" xfId="4" applyFont="1" applyFill="1" applyAlignment="1">
      <alignment horizontal="left" vertical="center" wrapText="1"/>
    </xf>
    <xf numFmtId="0" fontId="6" fillId="2" borderId="38" xfId="4" applyFill="1" applyBorder="1" applyAlignment="1">
      <alignment horizontal="center" vertical="center" wrapText="1"/>
    </xf>
    <xf numFmtId="0" fontId="6" fillId="2" borderId="39" xfId="4" applyFill="1" applyBorder="1" applyAlignment="1">
      <alignment horizontal="center" vertical="center" wrapText="1"/>
    </xf>
    <xf numFmtId="0" fontId="12" fillId="3" borderId="9" xfId="0" applyFont="1" applyFill="1" applyBorder="1" applyAlignment="1">
      <alignment horizontal="left" vertical="center" wrapText="1" indent="1"/>
    </xf>
    <xf numFmtId="0" fontId="12" fillId="3" borderId="6" xfId="0" applyFont="1" applyFill="1" applyBorder="1" applyAlignment="1">
      <alignment horizontal="left" vertical="center" wrapText="1" indent="1"/>
    </xf>
    <xf numFmtId="0" fontId="12" fillId="3" borderId="30" xfId="0" applyFont="1" applyFill="1" applyBorder="1" applyAlignment="1">
      <alignment horizontal="left" vertical="center" wrapText="1" indent="1"/>
    </xf>
    <xf numFmtId="0" fontId="1" fillId="2" borderId="39" xfId="0" applyFont="1" applyFill="1" applyBorder="1" applyAlignment="1">
      <alignment horizontal="center" vertical="center" wrapText="1"/>
    </xf>
    <xf numFmtId="0" fontId="12" fillId="3" borderId="37" xfId="0" applyFont="1" applyFill="1" applyBorder="1" applyAlignment="1">
      <alignment horizontal="left" vertical="center" wrapText="1" indent="1"/>
    </xf>
    <xf numFmtId="0" fontId="12" fillId="3" borderId="34" xfId="0" applyFont="1" applyFill="1" applyBorder="1" applyAlignment="1">
      <alignment horizontal="left" vertical="center" wrapText="1" indent="1"/>
    </xf>
    <xf numFmtId="0" fontId="1" fillId="0" borderId="4" xfId="0" applyFont="1" applyBorder="1" applyAlignment="1" applyProtection="1">
      <alignment horizontal="center" vertical="center" wrapText="1"/>
      <protection hidden="1"/>
    </xf>
    <xf numFmtId="0" fontId="1" fillId="0" borderId="18" xfId="0" applyFont="1" applyBorder="1" applyAlignment="1" applyProtection="1">
      <alignment horizontal="center" vertical="center" wrapText="1"/>
      <protection hidden="1"/>
    </xf>
    <xf numFmtId="0" fontId="1" fillId="0" borderId="24" xfId="0" applyFont="1" applyBorder="1" applyAlignment="1" applyProtection="1">
      <alignment horizontal="center" vertical="center" wrapText="1"/>
      <protection hidden="1"/>
    </xf>
    <xf numFmtId="0" fontId="1" fillId="0" borderId="4" xfId="0" applyFont="1" applyBorder="1" applyAlignment="1">
      <alignment horizontal="center" vertical="center" wrapText="1"/>
    </xf>
    <xf numFmtId="9" fontId="6" fillId="2" borderId="46" xfId="1" applyFont="1" applyFill="1" applyBorder="1" applyAlignment="1" applyProtection="1">
      <alignment horizontal="center" vertical="center" wrapText="1"/>
    </xf>
    <xf numFmtId="43" fontId="6" fillId="6" borderId="46" xfId="8" applyFont="1" applyFill="1" applyBorder="1" applyAlignment="1" applyProtection="1">
      <alignment horizontal="center" vertical="center" wrapText="1"/>
    </xf>
    <xf numFmtId="9" fontId="6" fillId="6" borderId="46" xfId="1" applyFont="1" applyFill="1" applyBorder="1" applyAlignment="1" applyProtection="1">
      <alignment horizontal="center" vertical="center" wrapText="1"/>
    </xf>
    <xf numFmtId="0" fontId="6" fillId="2" borderId="46" xfId="0" applyFont="1" applyFill="1" applyBorder="1" applyAlignment="1">
      <alignment horizontal="center" vertical="center" wrapText="1"/>
    </xf>
    <xf numFmtId="0" fontId="1" fillId="0" borderId="36" xfId="0" applyFont="1" applyBorder="1" applyAlignment="1" applyProtection="1">
      <alignment horizontal="center" vertical="center"/>
      <protection hidden="1"/>
    </xf>
    <xf numFmtId="9" fontId="6" fillId="2" borderId="46" xfId="1" applyFont="1" applyFill="1" applyBorder="1" applyAlignment="1" applyProtection="1">
      <alignment horizontal="center" vertical="center"/>
    </xf>
    <xf numFmtId="0" fontId="11" fillId="2" borderId="46" xfId="0" applyFont="1" applyFill="1" applyBorder="1" applyAlignment="1">
      <alignment horizontal="left" vertical="center" indent="1"/>
    </xf>
    <xf numFmtId="0" fontId="6" fillId="2" borderId="47" xfId="0" applyFont="1" applyFill="1" applyBorder="1" applyAlignment="1" applyProtection="1">
      <alignment horizontal="left" vertical="center"/>
      <protection hidden="1"/>
    </xf>
    <xf numFmtId="0" fontId="6" fillId="2" borderId="48" xfId="0" applyFont="1" applyFill="1" applyBorder="1" applyAlignment="1" applyProtection="1">
      <alignment horizontal="left" vertical="center"/>
      <protection hidden="1"/>
    </xf>
    <xf numFmtId="0" fontId="6" fillId="2" borderId="49" xfId="0" applyFont="1" applyFill="1" applyBorder="1" applyAlignment="1" applyProtection="1">
      <alignment horizontal="left" vertical="center"/>
      <protection hidden="1"/>
    </xf>
    <xf numFmtId="0" fontId="1" fillId="0" borderId="33" xfId="0" applyFont="1" applyBorder="1" applyAlignment="1" applyProtection="1">
      <alignment horizontal="center" vertical="center"/>
      <protection hidden="1"/>
    </xf>
    <xf numFmtId="0" fontId="6" fillId="2" borderId="18" xfId="0" applyFont="1" applyFill="1" applyBorder="1" applyAlignment="1">
      <alignment horizontal="center" vertical="center" wrapText="1"/>
    </xf>
    <xf numFmtId="0" fontId="6" fillId="2" borderId="24" xfId="0" applyFont="1" applyFill="1" applyBorder="1" applyAlignment="1">
      <alignment horizontal="center" vertical="center" wrapText="1"/>
    </xf>
    <xf numFmtId="0" fontId="6" fillId="2" borderId="51" xfId="0" applyFont="1" applyFill="1" applyBorder="1" applyAlignment="1">
      <alignment horizontal="center" vertical="center" wrapText="1"/>
    </xf>
    <xf numFmtId="9" fontId="6" fillId="2" borderId="59" xfId="1" applyFont="1" applyFill="1" applyBorder="1" applyAlignment="1" applyProtection="1">
      <alignment horizontal="center" vertical="center"/>
    </xf>
    <xf numFmtId="9" fontId="6" fillId="2" borderId="54" xfId="1" applyFont="1" applyFill="1" applyBorder="1" applyAlignment="1" applyProtection="1">
      <alignment horizontal="center" vertical="center"/>
    </xf>
    <xf numFmtId="9" fontId="6" fillId="2" borderId="60" xfId="1" applyFont="1" applyFill="1" applyBorder="1" applyAlignment="1" applyProtection="1">
      <alignment horizontal="center" vertical="center"/>
    </xf>
    <xf numFmtId="0" fontId="6" fillId="2" borderId="46" xfId="0" applyFont="1" applyFill="1" applyBorder="1" applyAlignment="1" applyProtection="1">
      <alignment vertical="center"/>
      <protection hidden="1"/>
    </xf>
    <xf numFmtId="0" fontId="6" fillId="2" borderId="46" xfId="0" applyFont="1" applyFill="1" applyBorder="1" applyAlignment="1" applyProtection="1">
      <alignment horizontal="left" vertical="center" wrapText="1"/>
      <protection hidden="1"/>
    </xf>
    <xf numFmtId="0" fontId="6" fillId="2" borderId="46" xfId="0" applyFont="1" applyFill="1" applyBorder="1" applyAlignment="1" applyProtection="1">
      <alignment horizontal="left" vertical="center"/>
      <protection hidden="1"/>
    </xf>
    <xf numFmtId="9" fontId="6" fillId="2" borderId="18" xfId="1" applyFont="1" applyFill="1" applyBorder="1" applyAlignment="1" applyProtection="1">
      <alignment horizontal="center" vertical="center" wrapText="1"/>
      <protection hidden="1"/>
    </xf>
    <xf numFmtId="9" fontId="6" fillId="2" borderId="51" xfId="1" applyFont="1" applyFill="1" applyBorder="1" applyAlignment="1" applyProtection="1">
      <alignment horizontal="center" vertical="center" wrapText="1"/>
      <protection hidden="1"/>
    </xf>
    <xf numFmtId="0" fontId="1" fillId="2" borderId="46" xfId="0" applyFont="1" applyFill="1" applyBorder="1" applyAlignment="1" applyProtection="1">
      <alignment horizontal="center" vertical="center"/>
      <protection hidden="1"/>
    </xf>
    <xf numFmtId="9" fontId="6" fillId="2" borderId="18" xfId="1" applyFont="1" applyFill="1" applyBorder="1" applyAlignment="1" applyProtection="1">
      <alignment horizontal="center" vertical="center" wrapText="1"/>
    </xf>
    <xf numFmtId="9" fontId="6" fillId="2" borderId="51" xfId="1" applyFont="1" applyFill="1" applyBorder="1" applyAlignment="1" applyProtection="1">
      <alignment horizontal="center" vertical="center" wrapText="1"/>
    </xf>
    <xf numFmtId="0" fontId="6" fillId="2" borderId="47" xfId="0" applyFont="1" applyFill="1" applyBorder="1" applyAlignment="1" applyProtection="1">
      <alignment horizontal="left" vertical="center" wrapText="1"/>
      <protection hidden="1"/>
    </xf>
    <xf numFmtId="0" fontId="6" fillId="2" borderId="48" xfId="0" applyFont="1" applyFill="1" applyBorder="1" applyAlignment="1" applyProtection="1">
      <alignment horizontal="left" vertical="center" wrapText="1"/>
      <protection hidden="1"/>
    </xf>
    <xf numFmtId="0" fontId="6" fillId="2" borderId="49" xfId="0" applyFont="1" applyFill="1" applyBorder="1" applyAlignment="1" applyProtection="1">
      <alignment horizontal="left" vertical="center" wrapText="1"/>
      <protection hidden="1"/>
    </xf>
    <xf numFmtId="0" fontId="0" fillId="0" borderId="49" xfId="0" applyBorder="1" applyAlignment="1">
      <alignment horizontal="left" vertical="center"/>
    </xf>
    <xf numFmtId="0" fontId="6" fillId="2" borderId="47" xfId="0" applyFont="1" applyFill="1" applyBorder="1" applyAlignment="1" applyProtection="1">
      <alignment vertical="center"/>
      <protection hidden="1"/>
    </xf>
    <xf numFmtId="0" fontId="6" fillId="2" borderId="48" xfId="0" applyFont="1" applyFill="1" applyBorder="1" applyAlignment="1" applyProtection="1">
      <alignment vertical="center"/>
      <protection hidden="1"/>
    </xf>
    <xf numFmtId="0" fontId="6" fillId="2" borderId="49" xfId="0" applyFont="1" applyFill="1" applyBorder="1" applyAlignment="1" applyProtection="1">
      <alignment vertical="center"/>
      <protection hidden="1"/>
    </xf>
    <xf numFmtId="0" fontId="13" fillId="3" borderId="46" xfId="0" applyFont="1" applyFill="1" applyBorder="1" applyAlignment="1">
      <alignment horizontal="center" vertical="center" wrapText="1"/>
    </xf>
  </cellXfs>
  <cellStyles count="9">
    <cellStyle name="Comma" xfId="8" builtinId="3"/>
    <cellStyle name="Normal" xfId="0" builtinId="0"/>
    <cellStyle name="Normal 2" xfId="2" xr:uid="{00000000-0005-0000-0000-000002000000}"/>
    <cellStyle name="Normal 2 2" xfId="4" xr:uid="{00000000-0005-0000-0000-000003000000}"/>
    <cellStyle name="Normal 2 2 2" xfId="7" xr:uid="{00000000-0005-0000-0000-000004000000}"/>
    <cellStyle name="Normal 2 3" xfId="6" xr:uid="{00000000-0005-0000-0000-000005000000}"/>
    <cellStyle name="Normal 3" xfId="3" xr:uid="{00000000-0005-0000-0000-000006000000}"/>
    <cellStyle name="Normal 3 2" xfId="5" xr:uid="{00000000-0005-0000-0000-000007000000}"/>
    <cellStyle name="Percent" xfId="1" builtinId="5"/>
  </cellStyles>
  <dxfs count="28">
    <dxf>
      <fill>
        <patternFill>
          <bgColor theme="0"/>
        </patternFill>
      </fill>
    </dxf>
    <dxf>
      <fill>
        <patternFill>
          <bgColor theme="0"/>
        </patternFill>
      </fill>
    </dxf>
    <dxf>
      <fill>
        <patternFill>
          <bgColor theme="0"/>
        </patternFill>
      </fill>
    </dxf>
    <dxf>
      <fill>
        <patternFill>
          <bgColor theme="0"/>
        </patternFill>
      </fill>
    </dxf>
    <dxf>
      <fill>
        <patternFill>
          <bgColor theme="0" tint="-0.34998626667073579"/>
        </patternFill>
      </fill>
    </dxf>
    <dxf>
      <fill>
        <patternFill>
          <bgColor theme="0"/>
        </patternFill>
      </fill>
    </dxf>
    <dxf>
      <fill>
        <patternFill>
          <bgColor theme="0"/>
        </patternFill>
      </fill>
    </dxf>
    <dxf>
      <fill>
        <patternFill>
          <bgColor theme="0" tint="-0.34998626667073579"/>
        </patternFill>
      </fill>
    </dxf>
    <dxf>
      <fill>
        <patternFill>
          <bgColor theme="0"/>
        </patternFill>
      </fill>
    </dxf>
    <dxf>
      <fill>
        <patternFill>
          <bgColor theme="0"/>
        </patternFill>
      </fill>
    </dxf>
    <dxf>
      <fill>
        <patternFill>
          <bgColor theme="0" tint="-0.34998626667073579"/>
        </patternFill>
      </fill>
    </dxf>
    <dxf>
      <fill>
        <patternFill>
          <bgColor theme="0"/>
        </patternFill>
      </fill>
    </dxf>
    <dxf>
      <fill>
        <patternFill>
          <bgColor theme="0"/>
        </patternFill>
      </fill>
    </dxf>
    <dxf>
      <fill>
        <patternFill>
          <bgColor theme="0" tint="-0.34998626667073579"/>
        </patternFill>
      </fill>
    </dxf>
    <dxf>
      <fill>
        <patternFill>
          <bgColor theme="0"/>
        </patternFill>
      </fill>
    </dxf>
    <dxf>
      <fill>
        <patternFill>
          <bgColor theme="0"/>
        </patternFill>
      </fill>
    </dxf>
    <dxf>
      <fill>
        <patternFill>
          <bgColor theme="0" tint="-0.34998626667073579"/>
        </patternFill>
      </fill>
    </dxf>
    <dxf>
      <fill>
        <patternFill>
          <bgColor theme="0"/>
        </patternFill>
      </fill>
    </dxf>
    <dxf>
      <fill>
        <patternFill>
          <bgColor theme="0" tint="-0.34998626667073579"/>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34998626667073579"/>
        </patternFill>
      </fill>
    </dxf>
    <dxf>
      <fill>
        <patternFill>
          <bgColor theme="0" tint="-0.34998626667073579"/>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38630</xdr:colOff>
      <xdr:row>1</xdr:row>
      <xdr:rowOff>40746</xdr:rowOff>
    </xdr:from>
    <xdr:to>
      <xdr:col>3</xdr:col>
      <xdr:colOff>47361</xdr:colOff>
      <xdr:row>3</xdr:row>
      <xdr:rowOff>94985</xdr:rowOff>
    </xdr:to>
    <xdr:pic>
      <xdr:nvPicPr>
        <xdr:cNvPr id="2" name="Picture 1" descr="logo_black.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bwMode="auto">
        <a:xfrm>
          <a:off x="219605" y="231246"/>
          <a:ext cx="773906" cy="768614"/>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38</xdr:row>
          <xdr:rowOff>180975</xdr:rowOff>
        </xdr:from>
        <xdr:to>
          <xdr:col>1</xdr:col>
          <xdr:colOff>1400175</xdr:colOff>
          <xdr:row>39</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38</xdr:row>
          <xdr:rowOff>180975</xdr:rowOff>
        </xdr:from>
        <xdr:to>
          <xdr:col>4</xdr:col>
          <xdr:colOff>1209675</xdr:colOff>
          <xdr:row>39</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40</xdr:row>
          <xdr:rowOff>180975</xdr:rowOff>
        </xdr:from>
        <xdr:to>
          <xdr:col>1</xdr:col>
          <xdr:colOff>1400175</xdr:colOff>
          <xdr:row>41</xdr:row>
          <xdr:rowOff>38100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40</xdr:row>
          <xdr:rowOff>180975</xdr:rowOff>
        </xdr:from>
        <xdr:to>
          <xdr:col>4</xdr:col>
          <xdr:colOff>1209675</xdr:colOff>
          <xdr:row>41</xdr:row>
          <xdr:rowOff>38100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30</xdr:row>
          <xdr:rowOff>180975</xdr:rowOff>
        </xdr:from>
        <xdr:to>
          <xdr:col>1</xdr:col>
          <xdr:colOff>1400175</xdr:colOff>
          <xdr:row>31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30</xdr:row>
          <xdr:rowOff>180975</xdr:rowOff>
        </xdr:from>
        <xdr:to>
          <xdr:col>4</xdr:col>
          <xdr:colOff>1219200</xdr:colOff>
          <xdr:row>31</xdr:row>
          <xdr:rowOff>28575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1400175</xdr:colOff>
          <xdr:row>32</xdr:row>
          <xdr:rowOff>28575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1219200</xdr:colOff>
          <xdr:row>32</xdr:row>
          <xdr:rowOff>28575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1400175</xdr:colOff>
          <xdr:row>32</xdr:row>
          <xdr:rowOff>28575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1219200</xdr:colOff>
          <xdr:row>32</xdr:row>
          <xdr:rowOff>28575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1400175</xdr:colOff>
          <xdr:row>32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1219200</xdr:colOff>
          <xdr:row>32</xdr:row>
          <xdr:rowOff>28575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26</xdr:row>
          <xdr:rowOff>180975</xdr:rowOff>
        </xdr:from>
        <xdr:to>
          <xdr:col>1</xdr:col>
          <xdr:colOff>1400175</xdr:colOff>
          <xdr:row>27</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26</xdr:row>
          <xdr:rowOff>180975</xdr:rowOff>
        </xdr:from>
        <xdr:to>
          <xdr:col>4</xdr:col>
          <xdr:colOff>1219200</xdr:colOff>
          <xdr:row>27</xdr:row>
          <xdr:rowOff>28575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1400175</xdr:colOff>
          <xdr:row>32</xdr:row>
          <xdr:rowOff>28575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1209675</xdr:colOff>
          <xdr:row>32</xdr:row>
          <xdr:rowOff>28575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7E4666-A7E6-4080-9D87-6DAA1B49B9FC}" name="tblReportingTypes" displayName="tblReportingTypes" ref="A1:D6" totalsRowShown="0">
  <autoFilter ref="A1:D6" xr:uid="{3D7E4666-A7E6-4080-9D87-6DAA1B49B9FC}"/>
  <sortState xmlns:xlrd2="http://schemas.microsoft.com/office/spreadsheetml/2017/richdata2" ref="A2:B6">
    <sortCondition descending="1" ref="A1:A6"/>
  </sortState>
  <tableColumns count="4">
    <tableColumn id="1" xr3:uid="{C7835476-D640-4B73-B59B-8CA1F0CA0F2E}" name="reportingTypeOptions"/>
    <tableColumn id="2" xr3:uid="{CD1608D1-9AA5-4BAF-8538-B986C710035F}" name="reportingTypeLists"/>
    <tableColumn id="3" xr3:uid="{4C110684-2E3C-4497-9401-54453BA1437A}" name="reportingTypeAdditionalInfo"/>
    <tableColumn id="4" xr3:uid="{E3DFD893-F6C5-427C-A0AC-AE0F76E32A97}" name="reportingTypeCompliant"/>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0E0F31-7DE1-44EB-986C-E10D19484B15}" name="tblManufacturerReporting" displayName="tblManufacturerReporting" ref="F1:F11" totalsRowShown="0">
  <autoFilter ref="F1:F11" xr:uid="{B20E0F31-7DE1-44EB-986C-E10D19484B15}"/>
  <tableColumns count="1">
    <tableColumn id="1" xr3:uid="{643BC1A3-6C0A-4F5E-93CC-199364473180}" name="manufacturerReporting"/>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017196-87D0-431F-82A6-BEE131C9D1E7}" name="tblThirdPartyCertification" displayName="tblThirdPartyCertification" ref="H1:H25" totalsRowShown="0">
  <autoFilter ref="H1:H25" xr:uid="{28017196-87D0-431F-82A6-BEE131C9D1E7}"/>
  <tableColumns count="1">
    <tableColumn id="1" xr3:uid="{8B358046-2397-4FE0-A0C1-F1FC80C16E07}" name="thirdPartyCertificatio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R375"/>
  <sheetViews>
    <sheetView showGridLines="0" tabSelected="1" topLeftCell="A311" zoomScale="85" zoomScaleNormal="85" zoomScalePageLayoutView="90" workbookViewId="0">
      <selection activeCell="F322" sqref="F322"/>
    </sheetView>
  </sheetViews>
  <sheetFormatPr defaultColWidth="9.140625" defaultRowHeight="15" x14ac:dyDescent="0.25"/>
  <cols>
    <col min="1" max="2" width="2.7109375" style="214" customWidth="1"/>
    <col min="3" max="3" width="8.7109375" style="214" customWidth="1"/>
    <col min="4" max="4" width="2.85546875" style="215" customWidth="1"/>
    <col min="5" max="5" width="28.5703125" style="214" hidden="1" customWidth="1"/>
    <col min="6" max="6" width="74.7109375" style="214" customWidth="1"/>
    <col min="7" max="7" width="2.7109375" style="214" customWidth="1"/>
    <col min="8" max="8" width="14.7109375" style="230" customWidth="1"/>
    <col min="9" max="9" width="15.42578125" style="230" customWidth="1"/>
    <col min="10" max="10" width="28.7109375" style="245" hidden="1" customWidth="1"/>
    <col min="11" max="11" width="34.140625" style="245" hidden="1" customWidth="1"/>
    <col min="12" max="12" width="21.140625" style="245" hidden="1" customWidth="1"/>
    <col min="13" max="13" width="17.7109375" style="245" hidden="1" customWidth="1"/>
    <col min="14" max="14" width="12.140625" style="245" hidden="1" customWidth="1"/>
    <col min="15" max="15" width="12.140625" style="215" customWidth="1"/>
    <col min="16" max="25" width="9.140625" style="215" customWidth="1"/>
    <col min="26" max="16384" width="9.140625" style="215"/>
  </cols>
  <sheetData>
    <row r="1" spans="1:14" x14ac:dyDescent="0.25">
      <c r="H1" s="216"/>
      <c r="I1" s="216"/>
      <c r="J1" s="240"/>
      <c r="K1" s="240"/>
      <c r="L1" s="240"/>
      <c r="M1" s="240"/>
      <c r="N1" s="244"/>
    </row>
    <row r="2" spans="1:14" ht="15" customHeight="1" x14ac:dyDescent="0.2">
      <c r="A2" s="217"/>
      <c r="B2" s="153"/>
      <c r="C2" s="154"/>
      <c r="D2" s="155"/>
      <c r="E2" s="154"/>
      <c r="F2" s="154"/>
      <c r="G2" s="154"/>
      <c r="H2" s="154"/>
      <c r="I2" s="156"/>
      <c r="J2" s="240"/>
      <c r="K2" s="240"/>
      <c r="L2" s="240"/>
      <c r="M2" s="240"/>
      <c r="N2" s="244"/>
    </row>
    <row r="3" spans="1:14" ht="41.25" customHeight="1" x14ac:dyDescent="0.25">
      <c r="B3" s="157"/>
      <c r="C3" s="151"/>
      <c r="D3" s="152"/>
      <c r="E3" s="152"/>
      <c r="F3" s="333" t="s">
        <v>0</v>
      </c>
      <c r="G3" s="333"/>
      <c r="H3" s="333"/>
      <c r="I3" s="158"/>
      <c r="J3" s="240"/>
      <c r="K3" s="240"/>
      <c r="L3" s="240"/>
      <c r="M3" s="240"/>
      <c r="N3" s="244"/>
    </row>
    <row r="4" spans="1:14" ht="21" customHeight="1" x14ac:dyDescent="0.25">
      <c r="B4" s="157"/>
      <c r="C4" s="159"/>
      <c r="D4" s="152"/>
      <c r="E4" s="152"/>
      <c r="F4" s="160"/>
      <c r="G4" s="102"/>
      <c r="H4" s="102"/>
      <c r="I4" s="158"/>
      <c r="J4" s="240"/>
      <c r="K4" s="240"/>
      <c r="L4" s="240"/>
      <c r="M4" s="240"/>
      <c r="N4" s="244"/>
    </row>
    <row r="5" spans="1:14" ht="15" customHeight="1" x14ac:dyDescent="0.25">
      <c r="B5" s="157"/>
      <c r="C5" s="159"/>
      <c r="D5" s="152"/>
      <c r="E5" s="152"/>
      <c r="F5" s="160" t="s">
        <v>1</v>
      </c>
      <c r="G5" s="102"/>
      <c r="H5" s="102"/>
      <c r="I5" s="158"/>
      <c r="J5" s="240"/>
      <c r="K5" s="240"/>
      <c r="L5" s="240"/>
      <c r="M5" s="240"/>
      <c r="N5" s="244"/>
    </row>
    <row r="6" spans="1:14" s="214" customFormat="1" ht="15" customHeight="1" x14ac:dyDescent="0.25">
      <c r="B6" s="157"/>
      <c r="C6" s="159"/>
      <c r="D6" s="161"/>
      <c r="E6" s="151"/>
      <c r="F6" s="160" t="s">
        <v>2</v>
      </c>
      <c r="G6" s="103"/>
      <c r="H6" s="103"/>
      <c r="I6" s="158"/>
      <c r="J6" s="241"/>
      <c r="K6" s="241"/>
      <c r="L6" s="241"/>
      <c r="M6" s="241"/>
      <c r="N6" s="261"/>
    </row>
    <row r="7" spans="1:14" s="218" customFormat="1" ht="21" customHeight="1" x14ac:dyDescent="0.2">
      <c r="A7" s="276"/>
      <c r="B7" s="277"/>
      <c r="C7" s="46"/>
      <c r="D7" s="47"/>
      <c r="E7" s="278"/>
      <c r="F7" s="59" t="s">
        <v>3</v>
      </c>
      <c r="G7" s="59"/>
      <c r="H7" s="103"/>
      <c r="I7" s="279"/>
      <c r="J7" s="280"/>
      <c r="K7" s="281"/>
      <c r="L7" s="281"/>
      <c r="M7" s="281"/>
      <c r="N7" s="281"/>
    </row>
    <row r="8" spans="1:14" s="214" customFormat="1" ht="8.25" customHeight="1" x14ac:dyDescent="0.25">
      <c r="B8" s="157"/>
      <c r="C8" s="159"/>
      <c r="D8" s="161"/>
      <c r="E8" s="151"/>
      <c r="F8" s="60"/>
      <c r="G8" s="103"/>
      <c r="H8" s="103"/>
      <c r="I8" s="158"/>
      <c r="J8" s="241"/>
      <c r="K8" s="241"/>
      <c r="L8" s="241"/>
      <c r="M8" s="241"/>
      <c r="N8" s="261"/>
    </row>
    <row r="9" spans="1:14" s="220" customFormat="1" ht="15" customHeight="1" x14ac:dyDescent="0.25">
      <c r="A9" s="219"/>
      <c r="B9" s="162"/>
      <c r="C9" s="163"/>
      <c r="D9" s="164"/>
      <c r="E9" s="164"/>
      <c r="F9" s="160" t="s">
        <v>4</v>
      </c>
      <c r="G9" s="104"/>
      <c r="H9" s="104"/>
      <c r="I9" s="165"/>
      <c r="J9" s="242"/>
      <c r="K9" s="242"/>
      <c r="L9" s="242"/>
      <c r="M9" s="242"/>
      <c r="N9" s="262"/>
    </row>
    <row r="10" spans="1:14" s="214" customFormat="1" ht="14.25" customHeight="1" x14ac:dyDescent="0.25">
      <c r="B10" s="157"/>
      <c r="C10" s="159"/>
      <c r="D10" s="161"/>
      <c r="E10" s="151"/>
      <c r="F10" s="166" t="s">
        <v>5</v>
      </c>
      <c r="G10" s="166"/>
      <c r="H10" s="167" t="s">
        <v>6</v>
      </c>
      <c r="I10" s="158"/>
      <c r="J10" s="241"/>
      <c r="K10" s="241"/>
      <c r="L10" s="241"/>
      <c r="M10" s="241"/>
      <c r="N10" s="261"/>
    </row>
    <row r="11" spans="1:14" s="218" customFormat="1" ht="24" customHeight="1" x14ac:dyDescent="0.2">
      <c r="A11" s="276"/>
      <c r="B11" s="277"/>
      <c r="C11" s="46"/>
      <c r="D11" s="47"/>
      <c r="E11" s="278"/>
      <c r="F11" s="60" t="s">
        <v>7</v>
      </c>
      <c r="G11" s="60"/>
      <c r="H11" s="103"/>
      <c r="I11" s="279"/>
      <c r="J11" s="280"/>
      <c r="K11" s="281"/>
      <c r="L11" s="281"/>
      <c r="M11" s="281"/>
      <c r="N11" s="281"/>
    </row>
    <row r="12" spans="1:14" s="214" customFormat="1" ht="45" customHeight="1" x14ac:dyDescent="0.25">
      <c r="B12" s="157"/>
      <c r="C12" s="159"/>
      <c r="D12" s="161"/>
      <c r="E12" s="151"/>
      <c r="F12" s="334" t="s">
        <v>8</v>
      </c>
      <c r="G12" s="334"/>
      <c r="H12" s="334"/>
      <c r="I12" s="158"/>
      <c r="J12" s="241"/>
      <c r="K12" s="241"/>
      <c r="L12" s="241"/>
      <c r="M12" s="241"/>
      <c r="N12" s="261"/>
    </row>
    <row r="13" spans="1:14" s="214" customFormat="1" ht="19.5" customHeight="1" x14ac:dyDescent="0.25">
      <c r="B13" s="157"/>
      <c r="C13" s="159"/>
      <c r="D13" s="161"/>
      <c r="E13" s="151"/>
      <c r="F13" s="334" t="s">
        <v>9</v>
      </c>
      <c r="G13" s="334"/>
      <c r="H13" s="334"/>
      <c r="I13" s="158"/>
      <c r="J13" s="241"/>
      <c r="K13" s="241"/>
      <c r="L13" s="241"/>
      <c r="M13" s="241"/>
      <c r="N13" s="261"/>
    </row>
    <row r="14" spans="1:14" s="214" customFormat="1" ht="9" customHeight="1" x14ac:dyDescent="0.25">
      <c r="B14" s="157"/>
      <c r="C14" s="159"/>
      <c r="D14" s="161"/>
      <c r="E14" s="151"/>
      <c r="F14" s="60"/>
      <c r="G14" s="103"/>
      <c r="H14" s="103"/>
      <c r="I14" s="158"/>
      <c r="J14" s="241"/>
      <c r="K14" s="241"/>
      <c r="L14" s="241"/>
      <c r="M14" s="241"/>
      <c r="N14" s="261"/>
    </row>
    <row r="15" spans="1:14" ht="15" customHeight="1" x14ac:dyDescent="0.25">
      <c r="B15" s="157"/>
      <c r="C15" s="159"/>
      <c r="D15" s="152"/>
      <c r="E15" s="152"/>
      <c r="F15" s="160" t="s">
        <v>10</v>
      </c>
      <c r="G15" s="102"/>
      <c r="H15" s="102"/>
      <c r="I15" s="158"/>
      <c r="J15" s="240"/>
      <c r="K15" s="240"/>
      <c r="L15" s="240"/>
      <c r="M15" s="240"/>
      <c r="N15" s="244"/>
    </row>
    <row r="16" spans="1:14" s="214" customFormat="1" ht="33" customHeight="1" x14ac:dyDescent="0.25">
      <c r="B16" s="157"/>
      <c r="C16" s="159"/>
      <c r="D16" s="161"/>
      <c r="E16" s="151"/>
      <c r="F16" s="335" t="s">
        <v>11</v>
      </c>
      <c r="G16" s="335"/>
      <c r="H16" s="335"/>
      <c r="I16" s="158"/>
      <c r="J16" s="241"/>
      <c r="K16" s="241"/>
      <c r="L16" s="241"/>
      <c r="M16" s="241"/>
      <c r="N16" s="261"/>
    </row>
    <row r="17" spans="1:18" s="214" customFormat="1" ht="20.25" customHeight="1" x14ac:dyDescent="0.25">
      <c r="B17" s="168"/>
      <c r="C17" s="169"/>
      <c r="D17" s="170"/>
      <c r="E17" s="151"/>
      <c r="F17" s="170"/>
      <c r="G17" s="62"/>
      <c r="H17" s="62"/>
      <c r="I17" s="171"/>
      <c r="J17" s="241"/>
      <c r="K17" s="241"/>
      <c r="L17" s="241"/>
      <c r="M17" s="241"/>
      <c r="N17" s="261"/>
    </row>
    <row r="18" spans="1:18" s="227" customFormat="1" ht="24" customHeight="1" x14ac:dyDescent="0.25">
      <c r="A18" s="221"/>
      <c r="B18" s="222"/>
      <c r="C18" s="223"/>
      <c r="D18" s="224"/>
      <c r="E18" s="225"/>
      <c r="F18" s="222"/>
      <c r="G18" s="222"/>
      <c r="H18" s="222"/>
      <c r="I18" s="226"/>
      <c r="J18" s="243"/>
      <c r="K18" s="243"/>
      <c r="L18" s="243"/>
      <c r="M18" s="243"/>
      <c r="N18" s="243"/>
      <c r="O18" s="226"/>
      <c r="P18" s="226"/>
      <c r="Q18" s="226"/>
      <c r="R18" s="226"/>
    </row>
    <row r="19" spans="1:18" s="228" customFormat="1" ht="18" customHeight="1" x14ac:dyDescent="0.25">
      <c r="A19" s="221"/>
      <c r="B19" s="173"/>
      <c r="C19" s="174"/>
      <c r="D19" s="175"/>
      <c r="E19" s="176"/>
      <c r="F19" s="176"/>
      <c r="G19" s="177"/>
      <c r="H19" s="177"/>
      <c r="I19" s="178"/>
      <c r="J19" s="243"/>
      <c r="K19" s="243"/>
      <c r="L19" s="243"/>
      <c r="M19" s="243"/>
      <c r="N19" s="243"/>
      <c r="O19" s="226"/>
      <c r="P19" s="226"/>
      <c r="Q19" s="226"/>
      <c r="R19" s="226"/>
    </row>
    <row r="20" spans="1:18" s="228" customFormat="1" ht="23.25" customHeight="1" x14ac:dyDescent="0.25">
      <c r="A20" s="221"/>
      <c r="B20" s="179"/>
      <c r="C20" s="180" t="s">
        <v>12</v>
      </c>
      <c r="D20" s="181"/>
      <c r="E20" s="182"/>
      <c r="F20" s="182"/>
      <c r="G20" s="172"/>
      <c r="H20" s="172"/>
      <c r="I20" s="183"/>
      <c r="J20" s="243"/>
      <c r="K20" s="243"/>
      <c r="L20" s="243"/>
      <c r="M20" s="243"/>
      <c r="N20" s="243"/>
      <c r="O20" s="226"/>
      <c r="P20" s="226"/>
      <c r="Q20" s="226"/>
      <c r="R20" s="226"/>
    </row>
    <row r="21" spans="1:18" ht="54.75" customHeight="1" x14ac:dyDescent="0.25">
      <c r="B21" s="179"/>
      <c r="C21" s="336" t="s">
        <v>13</v>
      </c>
      <c r="D21" s="337"/>
      <c r="E21" s="337"/>
      <c r="F21" s="341" t="s">
        <v>14</v>
      </c>
      <c r="G21" s="341"/>
      <c r="H21" s="282" t="s">
        <v>15</v>
      </c>
      <c r="I21" s="183"/>
      <c r="J21" s="240"/>
      <c r="K21" s="244"/>
      <c r="L21" s="240"/>
      <c r="M21" s="240"/>
      <c r="N21" s="244"/>
    </row>
    <row r="22" spans="1:18" ht="15" customHeight="1" x14ac:dyDescent="0.25">
      <c r="A22" s="229"/>
      <c r="B22" s="179"/>
      <c r="C22" s="325" t="s">
        <v>16</v>
      </c>
      <c r="D22" s="326"/>
      <c r="E22" s="184" t="s">
        <v>17</v>
      </c>
      <c r="F22" s="342" t="s">
        <v>18</v>
      </c>
      <c r="G22" s="343"/>
      <c r="H22" s="185">
        <v>350</v>
      </c>
      <c r="I22" s="183"/>
      <c r="K22" s="244"/>
    </row>
    <row r="23" spans="1:18" ht="15" customHeight="1" x14ac:dyDescent="0.25">
      <c r="A23" s="229"/>
      <c r="B23" s="179"/>
      <c r="C23" s="327"/>
      <c r="D23" s="328"/>
      <c r="E23" s="184" t="s">
        <v>17</v>
      </c>
      <c r="F23" s="342" t="s">
        <v>19</v>
      </c>
      <c r="G23" s="343"/>
      <c r="H23" s="196">
        <v>100</v>
      </c>
      <c r="I23" s="183"/>
      <c r="K23" s="244"/>
    </row>
    <row r="24" spans="1:18" ht="15" customHeight="1" x14ac:dyDescent="0.25">
      <c r="A24" s="231"/>
      <c r="B24" s="179"/>
      <c r="C24" s="327"/>
      <c r="D24" s="328"/>
      <c r="E24" s="184" t="s">
        <v>17</v>
      </c>
      <c r="F24" s="324" t="s">
        <v>20</v>
      </c>
      <c r="G24" s="324"/>
      <c r="H24" s="186">
        <v>50</v>
      </c>
      <c r="I24" s="183"/>
    </row>
    <row r="25" spans="1:18" ht="15" customHeight="1" x14ac:dyDescent="0.25">
      <c r="A25" s="231"/>
      <c r="B25" s="179"/>
      <c r="C25" s="327"/>
      <c r="D25" s="328"/>
      <c r="E25" s="184" t="s">
        <v>17</v>
      </c>
      <c r="F25" s="324" t="s">
        <v>21</v>
      </c>
      <c r="G25" s="324"/>
      <c r="H25" s="186">
        <v>600</v>
      </c>
      <c r="I25" s="183"/>
    </row>
    <row r="26" spans="1:18" ht="15" customHeight="1" x14ac:dyDescent="0.25">
      <c r="A26" s="231"/>
      <c r="B26" s="179"/>
      <c r="C26" s="327"/>
      <c r="D26" s="328"/>
      <c r="E26" s="184" t="s">
        <v>17</v>
      </c>
      <c r="F26" s="324" t="s">
        <v>22</v>
      </c>
      <c r="G26" s="324"/>
      <c r="H26" s="186">
        <v>50</v>
      </c>
      <c r="I26" s="183"/>
    </row>
    <row r="27" spans="1:18" ht="15" customHeight="1" x14ac:dyDescent="0.25">
      <c r="A27" s="231"/>
      <c r="B27" s="179"/>
      <c r="C27" s="327"/>
      <c r="D27" s="328"/>
      <c r="E27" s="184" t="s">
        <v>17</v>
      </c>
      <c r="F27" s="324" t="s">
        <v>23</v>
      </c>
      <c r="G27" s="324"/>
      <c r="H27" s="186">
        <v>100</v>
      </c>
      <c r="I27" s="183"/>
    </row>
    <row r="28" spans="1:18" ht="15" customHeight="1" x14ac:dyDescent="0.25">
      <c r="A28" s="231"/>
      <c r="B28" s="179"/>
      <c r="C28" s="327"/>
      <c r="D28" s="328"/>
      <c r="E28" s="184" t="s">
        <v>17</v>
      </c>
      <c r="F28" s="324" t="s">
        <v>24</v>
      </c>
      <c r="G28" s="324"/>
      <c r="H28" s="186">
        <v>350</v>
      </c>
      <c r="I28" s="183"/>
    </row>
    <row r="29" spans="1:18" ht="15" customHeight="1" x14ac:dyDescent="0.25">
      <c r="A29" s="231"/>
      <c r="B29" s="179"/>
      <c r="C29" s="327"/>
      <c r="D29" s="328"/>
      <c r="E29" s="184" t="s">
        <v>17</v>
      </c>
      <c r="F29" s="324" t="s">
        <v>25</v>
      </c>
      <c r="G29" s="324"/>
      <c r="H29" s="186">
        <v>50</v>
      </c>
      <c r="I29" s="183"/>
    </row>
    <row r="30" spans="1:18" ht="15" customHeight="1" x14ac:dyDescent="0.25">
      <c r="A30" s="231"/>
      <c r="B30" s="179"/>
      <c r="C30" s="327"/>
      <c r="D30" s="328"/>
      <c r="E30" s="184" t="s">
        <v>17</v>
      </c>
      <c r="F30" s="324" t="s">
        <v>26</v>
      </c>
      <c r="G30" s="324"/>
      <c r="H30" s="186">
        <v>50</v>
      </c>
      <c r="I30" s="183"/>
    </row>
    <row r="31" spans="1:18" ht="15" customHeight="1" x14ac:dyDescent="0.25">
      <c r="A31" s="231"/>
      <c r="B31" s="179"/>
      <c r="C31" s="327"/>
      <c r="D31" s="328"/>
      <c r="E31" s="184" t="s">
        <v>17</v>
      </c>
      <c r="F31" s="324" t="s">
        <v>27</v>
      </c>
      <c r="G31" s="324"/>
      <c r="H31" s="186">
        <v>50</v>
      </c>
      <c r="I31" s="183"/>
    </row>
    <row r="32" spans="1:18" ht="15" customHeight="1" x14ac:dyDescent="0.25">
      <c r="A32" s="231"/>
      <c r="B32" s="179"/>
      <c r="C32" s="327"/>
      <c r="D32" s="328"/>
      <c r="E32" s="184" t="s">
        <v>17</v>
      </c>
      <c r="F32" s="324" t="s">
        <v>28</v>
      </c>
      <c r="G32" s="324"/>
      <c r="H32" s="186">
        <v>100</v>
      </c>
      <c r="I32" s="183"/>
    </row>
    <row r="33" spans="1:18" ht="15" customHeight="1" x14ac:dyDescent="0.25">
      <c r="A33" s="231"/>
      <c r="B33" s="179"/>
      <c r="C33" s="327"/>
      <c r="D33" s="328"/>
      <c r="E33" s="184" t="s">
        <v>17</v>
      </c>
      <c r="F33" s="324" t="s">
        <v>29</v>
      </c>
      <c r="G33" s="324"/>
      <c r="H33" s="186">
        <v>350</v>
      </c>
      <c r="I33" s="183"/>
    </row>
    <row r="34" spans="1:18" ht="15" customHeight="1" x14ac:dyDescent="0.25">
      <c r="A34" s="231"/>
      <c r="B34" s="179"/>
      <c r="C34" s="327"/>
      <c r="D34" s="328"/>
      <c r="E34" s="184" t="s">
        <v>17</v>
      </c>
      <c r="F34" s="324" t="s">
        <v>30</v>
      </c>
      <c r="G34" s="324"/>
      <c r="H34" s="186">
        <v>350</v>
      </c>
      <c r="I34" s="183"/>
      <c r="R34" s="215" t="s">
        <v>31</v>
      </c>
    </row>
    <row r="35" spans="1:18" ht="15" customHeight="1" x14ac:dyDescent="0.25">
      <c r="A35" s="231"/>
      <c r="B35" s="179"/>
      <c r="C35" s="327"/>
      <c r="D35" s="328"/>
      <c r="E35" s="184" t="s">
        <v>17</v>
      </c>
      <c r="F35" s="324" t="s">
        <v>32</v>
      </c>
      <c r="G35" s="324"/>
      <c r="H35" s="186">
        <v>350</v>
      </c>
      <c r="I35" s="183"/>
    </row>
    <row r="36" spans="1:18" ht="15" customHeight="1" x14ac:dyDescent="0.25">
      <c r="A36" s="231"/>
      <c r="B36" s="179"/>
      <c r="C36" s="327"/>
      <c r="D36" s="328"/>
      <c r="E36" s="184" t="s">
        <v>17</v>
      </c>
      <c r="F36" s="324" t="s">
        <v>33</v>
      </c>
      <c r="G36" s="324"/>
      <c r="H36" s="186">
        <v>50</v>
      </c>
      <c r="I36" s="183"/>
      <c r="K36" s="246"/>
      <c r="L36" s="246"/>
      <c r="M36" s="246"/>
      <c r="N36" s="246"/>
      <c r="O36" s="232"/>
      <c r="P36" s="232"/>
      <c r="R36" s="215" t="s">
        <v>34</v>
      </c>
    </row>
    <row r="37" spans="1:18" ht="15" customHeight="1" x14ac:dyDescent="0.25">
      <c r="A37" s="231"/>
      <c r="B37" s="179"/>
      <c r="C37" s="327"/>
      <c r="D37" s="328"/>
      <c r="E37" s="184" t="s">
        <v>17</v>
      </c>
      <c r="F37" s="324" t="s">
        <v>35</v>
      </c>
      <c r="G37" s="324"/>
      <c r="H37" s="186">
        <v>150</v>
      </c>
      <c r="I37" s="183"/>
      <c r="K37" s="246"/>
      <c r="L37" s="246"/>
      <c r="M37" s="246"/>
      <c r="N37" s="246"/>
    </row>
    <row r="38" spans="1:18" ht="15" customHeight="1" x14ac:dyDescent="0.25">
      <c r="A38" s="231"/>
      <c r="B38" s="179"/>
      <c r="C38" s="327"/>
      <c r="D38" s="328"/>
      <c r="E38" s="184" t="s">
        <v>17</v>
      </c>
      <c r="F38" s="324" t="s">
        <v>36</v>
      </c>
      <c r="G38" s="324"/>
      <c r="H38" s="186">
        <v>50</v>
      </c>
      <c r="I38" s="183"/>
    </row>
    <row r="39" spans="1:18" ht="15" customHeight="1" x14ac:dyDescent="0.25">
      <c r="A39" s="231"/>
      <c r="B39" s="179"/>
      <c r="C39" s="327"/>
      <c r="D39" s="328"/>
      <c r="E39" s="184" t="s">
        <v>17</v>
      </c>
      <c r="F39" s="324" t="s">
        <v>37</v>
      </c>
      <c r="G39" s="324"/>
      <c r="H39" s="186">
        <v>50</v>
      </c>
      <c r="I39" s="183"/>
    </row>
    <row r="40" spans="1:18" ht="15" customHeight="1" x14ac:dyDescent="0.25">
      <c r="A40" s="231"/>
      <c r="B40" s="179"/>
      <c r="C40" s="327"/>
      <c r="D40" s="328"/>
      <c r="E40" s="184" t="s">
        <v>17</v>
      </c>
      <c r="F40" s="324" t="s">
        <v>38</v>
      </c>
      <c r="G40" s="324"/>
      <c r="H40" s="186">
        <v>100</v>
      </c>
      <c r="I40" s="183"/>
      <c r="O40" s="232"/>
    </row>
    <row r="41" spans="1:18" ht="15" customHeight="1" x14ac:dyDescent="0.25">
      <c r="A41" s="231"/>
      <c r="B41" s="179"/>
      <c r="C41" s="327"/>
      <c r="D41" s="328"/>
      <c r="E41" s="184" t="s">
        <v>17</v>
      </c>
      <c r="F41" s="324" t="s">
        <v>39</v>
      </c>
      <c r="G41" s="324"/>
      <c r="H41" s="186">
        <v>200</v>
      </c>
      <c r="I41" s="183"/>
      <c r="K41" s="245" t="s">
        <v>34</v>
      </c>
    </row>
    <row r="42" spans="1:18" ht="15" customHeight="1" x14ac:dyDescent="0.25">
      <c r="A42" s="231"/>
      <c r="B42" s="179"/>
      <c r="C42" s="327"/>
      <c r="D42" s="328"/>
      <c r="E42" s="184" t="s">
        <v>17</v>
      </c>
      <c r="F42" s="322" t="s">
        <v>40</v>
      </c>
      <c r="G42" s="323"/>
      <c r="H42" s="186">
        <v>100</v>
      </c>
      <c r="I42" s="183"/>
    </row>
    <row r="43" spans="1:18" ht="15" customHeight="1" x14ac:dyDescent="0.25">
      <c r="A43" s="231"/>
      <c r="B43" s="179"/>
      <c r="C43" s="327"/>
      <c r="D43" s="328"/>
      <c r="E43" s="184" t="s">
        <v>17</v>
      </c>
      <c r="F43" s="322" t="s">
        <v>41</v>
      </c>
      <c r="G43" s="323"/>
      <c r="H43" s="186">
        <v>480</v>
      </c>
      <c r="I43" s="183"/>
    </row>
    <row r="44" spans="1:18" ht="15" customHeight="1" x14ac:dyDescent="0.25">
      <c r="A44" s="231"/>
      <c r="B44" s="179"/>
      <c r="C44" s="327"/>
      <c r="D44" s="328"/>
      <c r="E44" s="184" t="s">
        <v>17</v>
      </c>
      <c r="F44" s="322" t="s">
        <v>42</v>
      </c>
      <c r="G44" s="323"/>
      <c r="H44" s="186">
        <v>420</v>
      </c>
      <c r="I44" s="183"/>
    </row>
    <row r="45" spans="1:18" ht="15" customHeight="1" x14ac:dyDescent="0.25">
      <c r="A45" s="231"/>
      <c r="B45" s="179"/>
      <c r="C45" s="327"/>
      <c r="D45" s="328"/>
      <c r="E45" s="184" t="s">
        <v>17</v>
      </c>
      <c r="F45" s="324" t="s">
        <v>43</v>
      </c>
      <c r="G45" s="324"/>
      <c r="H45" s="186">
        <v>100</v>
      </c>
      <c r="I45" s="183"/>
    </row>
    <row r="46" spans="1:18" ht="15" customHeight="1" x14ac:dyDescent="0.25">
      <c r="A46" s="231"/>
      <c r="B46" s="179"/>
      <c r="C46" s="327"/>
      <c r="D46" s="328"/>
      <c r="E46" s="184" t="s">
        <v>17</v>
      </c>
      <c r="F46" s="324" t="s">
        <v>44</v>
      </c>
      <c r="G46" s="324"/>
      <c r="H46" s="186">
        <v>100</v>
      </c>
      <c r="I46" s="183"/>
      <c r="K46" s="244"/>
      <c r="L46" s="244"/>
      <c r="M46" s="244"/>
      <c r="N46" s="244"/>
    </row>
    <row r="47" spans="1:18" ht="15" customHeight="1" x14ac:dyDescent="0.25">
      <c r="A47" s="231"/>
      <c r="B47" s="179"/>
      <c r="C47" s="327"/>
      <c r="D47" s="328"/>
      <c r="E47" s="184" t="s">
        <v>17</v>
      </c>
      <c r="F47" s="324" t="s">
        <v>45</v>
      </c>
      <c r="G47" s="324"/>
      <c r="H47" s="186">
        <v>450</v>
      </c>
      <c r="I47" s="183"/>
      <c r="O47" s="232"/>
    </row>
    <row r="48" spans="1:18" ht="15" customHeight="1" x14ac:dyDescent="0.25">
      <c r="A48" s="231"/>
      <c r="B48" s="179"/>
      <c r="C48" s="327"/>
      <c r="D48" s="328"/>
      <c r="E48" s="184" t="s">
        <v>17</v>
      </c>
      <c r="F48" s="324" t="s">
        <v>46</v>
      </c>
      <c r="G48" s="324"/>
      <c r="H48" s="186">
        <v>100</v>
      </c>
      <c r="I48" s="183"/>
    </row>
    <row r="49" spans="1:18" s="230" customFormat="1" ht="15" customHeight="1" x14ac:dyDescent="0.25">
      <c r="A49" s="231"/>
      <c r="B49" s="179"/>
      <c r="C49" s="327"/>
      <c r="D49" s="328"/>
      <c r="E49" s="184" t="s">
        <v>17</v>
      </c>
      <c r="F49" s="324" t="s">
        <v>47</v>
      </c>
      <c r="G49" s="324"/>
      <c r="H49" s="186">
        <v>150</v>
      </c>
      <c r="I49" s="183"/>
      <c r="J49" s="245"/>
      <c r="K49" s="245"/>
      <c r="L49" s="245"/>
      <c r="M49" s="245"/>
      <c r="N49" s="245"/>
      <c r="O49" s="215"/>
      <c r="P49" s="215"/>
      <c r="Q49" s="215"/>
      <c r="R49" s="215"/>
    </row>
    <row r="50" spans="1:18" s="230" customFormat="1" ht="15" customHeight="1" x14ac:dyDescent="0.25">
      <c r="A50" s="231"/>
      <c r="B50" s="179"/>
      <c r="C50" s="327"/>
      <c r="D50" s="328"/>
      <c r="E50" s="184" t="s">
        <v>17</v>
      </c>
      <c r="F50" s="324" t="s">
        <v>48</v>
      </c>
      <c r="G50" s="324"/>
      <c r="H50" s="186">
        <v>250</v>
      </c>
      <c r="I50" s="183"/>
      <c r="J50" s="245"/>
      <c r="K50" s="245"/>
      <c r="L50" s="245"/>
      <c r="M50" s="245"/>
      <c r="N50" s="245"/>
      <c r="O50" s="215"/>
      <c r="P50" s="215"/>
      <c r="Q50" s="215"/>
      <c r="R50" s="215"/>
    </row>
    <row r="51" spans="1:18" s="230" customFormat="1" ht="15" customHeight="1" x14ac:dyDescent="0.25">
      <c r="A51" s="231"/>
      <c r="B51" s="179"/>
      <c r="C51" s="327"/>
      <c r="D51" s="328"/>
      <c r="E51" s="184" t="s">
        <v>17</v>
      </c>
      <c r="F51" s="324" t="s">
        <v>49</v>
      </c>
      <c r="G51" s="324"/>
      <c r="H51" s="186">
        <v>50</v>
      </c>
      <c r="I51" s="183"/>
      <c r="J51" s="245"/>
      <c r="K51" s="245"/>
      <c r="L51" s="245"/>
      <c r="M51" s="245"/>
      <c r="N51" s="245"/>
      <c r="O51" s="215"/>
      <c r="P51" s="215"/>
      <c r="Q51" s="215"/>
      <c r="R51" s="215"/>
    </row>
    <row r="52" spans="1:18" s="230" customFormat="1" ht="15" customHeight="1" x14ac:dyDescent="0.25">
      <c r="A52" s="231"/>
      <c r="B52" s="179"/>
      <c r="C52" s="327"/>
      <c r="D52" s="328"/>
      <c r="E52" s="184" t="s">
        <v>17</v>
      </c>
      <c r="F52" s="324" t="s">
        <v>50</v>
      </c>
      <c r="G52" s="324"/>
      <c r="H52" s="186">
        <v>420</v>
      </c>
      <c r="I52" s="183"/>
      <c r="J52" s="245"/>
      <c r="K52" s="245"/>
      <c r="L52" s="245"/>
      <c r="M52" s="245"/>
      <c r="N52" s="245"/>
      <c r="O52" s="215"/>
      <c r="P52" s="215"/>
      <c r="Q52" s="215"/>
      <c r="R52" s="215"/>
    </row>
    <row r="53" spans="1:18" s="230" customFormat="1" ht="15" customHeight="1" x14ac:dyDescent="0.25">
      <c r="A53" s="231"/>
      <c r="B53" s="179"/>
      <c r="C53" s="327"/>
      <c r="D53" s="328"/>
      <c r="E53" s="184" t="s">
        <v>17</v>
      </c>
      <c r="F53" s="324" t="s">
        <v>51</v>
      </c>
      <c r="G53" s="324"/>
      <c r="H53" s="186">
        <v>100</v>
      </c>
      <c r="I53" s="183"/>
      <c r="J53" s="245"/>
      <c r="K53" s="245"/>
      <c r="L53" s="245"/>
      <c r="M53" s="245"/>
      <c r="N53" s="245"/>
      <c r="O53" s="215"/>
      <c r="P53" s="215"/>
      <c r="Q53" s="215"/>
      <c r="R53" s="215"/>
    </row>
    <row r="54" spans="1:18" s="230" customFormat="1" ht="15" customHeight="1" x14ac:dyDescent="0.25">
      <c r="A54" s="214"/>
      <c r="B54" s="179"/>
      <c r="C54" s="327"/>
      <c r="D54" s="328"/>
      <c r="E54" s="184" t="s">
        <v>17</v>
      </c>
      <c r="F54" s="324" t="s">
        <v>52</v>
      </c>
      <c r="G54" s="324"/>
      <c r="H54" s="186">
        <v>350</v>
      </c>
      <c r="I54" s="183"/>
      <c r="J54" s="245"/>
      <c r="K54" s="245"/>
      <c r="L54" s="245"/>
      <c r="M54" s="245"/>
      <c r="N54" s="245"/>
      <c r="O54" s="215"/>
      <c r="P54" s="215"/>
      <c r="Q54" s="215"/>
      <c r="R54" s="215"/>
    </row>
    <row r="55" spans="1:18" s="230" customFormat="1" ht="15" customHeight="1" x14ac:dyDescent="0.25">
      <c r="A55" s="214"/>
      <c r="B55" s="179"/>
      <c r="C55" s="327"/>
      <c r="D55" s="328"/>
      <c r="E55" s="184" t="s">
        <v>17</v>
      </c>
      <c r="F55" s="324" t="s">
        <v>53</v>
      </c>
      <c r="G55" s="324"/>
      <c r="H55" s="186">
        <v>250</v>
      </c>
      <c r="I55" s="183"/>
      <c r="J55" s="245"/>
      <c r="K55" s="245"/>
      <c r="L55" s="245"/>
      <c r="M55" s="245"/>
      <c r="N55" s="245"/>
      <c r="O55" s="215"/>
      <c r="P55" s="215"/>
      <c r="Q55" s="215"/>
      <c r="R55" s="215"/>
    </row>
    <row r="56" spans="1:18" s="230" customFormat="1" ht="15" customHeight="1" x14ac:dyDescent="0.25">
      <c r="A56" s="214"/>
      <c r="B56" s="179"/>
      <c r="C56" s="327"/>
      <c r="D56" s="328"/>
      <c r="E56" s="184" t="s">
        <v>17</v>
      </c>
      <c r="F56" s="324" t="s">
        <v>54</v>
      </c>
      <c r="G56" s="324"/>
      <c r="H56" s="186">
        <v>50</v>
      </c>
      <c r="I56" s="183"/>
      <c r="J56" s="245"/>
      <c r="K56" s="245"/>
      <c r="L56" s="245"/>
      <c r="M56" s="245"/>
      <c r="N56" s="245"/>
      <c r="O56" s="215"/>
      <c r="P56" s="215"/>
      <c r="Q56" s="215"/>
      <c r="R56" s="215"/>
    </row>
    <row r="57" spans="1:18" s="230" customFormat="1" ht="15" customHeight="1" x14ac:dyDescent="0.25">
      <c r="A57" s="214"/>
      <c r="B57" s="179"/>
      <c r="C57" s="327"/>
      <c r="D57" s="328"/>
      <c r="E57" s="184" t="s">
        <v>17</v>
      </c>
      <c r="F57" s="324" t="s">
        <v>55</v>
      </c>
      <c r="G57" s="324"/>
      <c r="H57" s="186">
        <v>100</v>
      </c>
      <c r="I57" s="183"/>
      <c r="J57" s="245"/>
      <c r="K57" s="245"/>
      <c r="L57" s="245"/>
      <c r="M57" s="245"/>
      <c r="N57" s="245"/>
      <c r="O57" s="215"/>
      <c r="P57" s="215"/>
      <c r="Q57" s="215"/>
      <c r="R57" s="215"/>
    </row>
    <row r="58" spans="1:18" s="230" customFormat="1" ht="15" customHeight="1" x14ac:dyDescent="0.25">
      <c r="A58" s="214"/>
      <c r="B58" s="179"/>
      <c r="C58" s="327"/>
      <c r="D58" s="328"/>
      <c r="E58" s="184" t="s">
        <v>17</v>
      </c>
      <c r="F58" s="324" t="s">
        <v>56</v>
      </c>
      <c r="G58" s="324"/>
      <c r="H58" s="186">
        <v>350</v>
      </c>
      <c r="I58" s="183"/>
      <c r="J58" s="245"/>
      <c r="K58" s="245"/>
      <c r="L58" s="245"/>
      <c r="M58" s="245"/>
      <c r="N58" s="245"/>
      <c r="O58" s="215"/>
      <c r="P58" s="215"/>
      <c r="Q58" s="215"/>
      <c r="R58" s="215"/>
    </row>
    <row r="59" spans="1:18" s="230" customFormat="1" ht="15" customHeight="1" x14ac:dyDescent="0.25">
      <c r="A59" s="214"/>
      <c r="B59" s="179"/>
      <c r="C59" s="327"/>
      <c r="D59" s="328"/>
      <c r="E59" s="184" t="s">
        <v>17</v>
      </c>
      <c r="F59" s="324" t="s">
        <v>57</v>
      </c>
      <c r="G59" s="324"/>
      <c r="H59" s="186">
        <v>100</v>
      </c>
      <c r="I59" s="183"/>
      <c r="J59" s="245"/>
      <c r="K59" s="245"/>
      <c r="L59" s="245"/>
      <c r="M59" s="245"/>
      <c r="N59" s="245"/>
      <c r="O59" s="215"/>
      <c r="P59" s="215"/>
      <c r="Q59" s="215"/>
      <c r="R59" s="215"/>
    </row>
    <row r="60" spans="1:18" s="230" customFormat="1" ht="15" customHeight="1" x14ac:dyDescent="0.25">
      <c r="A60" s="214"/>
      <c r="B60" s="179"/>
      <c r="C60" s="327"/>
      <c r="D60" s="328"/>
      <c r="E60" s="184" t="s">
        <v>17</v>
      </c>
      <c r="F60" s="324" t="s">
        <v>58</v>
      </c>
      <c r="G60" s="324"/>
      <c r="H60" s="186">
        <v>50</v>
      </c>
      <c r="I60" s="183"/>
      <c r="J60" s="245"/>
      <c r="K60" s="245"/>
      <c r="L60" s="245"/>
      <c r="M60" s="245"/>
      <c r="N60" s="245"/>
      <c r="O60" s="215"/>
      <c r="P60" s="215"/>
      <c r="Q60" s="215"/>
      <c r="R60" s="215"/>
    </row>
    <row r="61" spans="1:18" s="230" customFormat="1" ht="15" customHeight="1" x14ac:dyDescent="0.25">
      <c r="A61" s="214"/>
      <c r="B61" s="179"/>
      <c r="C61" s="327"/>
      <c r="D61" s="328"/>
      <c r="E61" s="184" t="s">
        <v>17</v>
      </c>
      <c r="F61" s="324" t="s">
        <v>59</v>
      </c>
      <c r="G61" s="324"/>
      <c r="H61" s="186">
        <v>730</v>
      </c>
      <c r="I61" s="183"/>
      <c r="J61" s="245"/>
      <c r="K61" s="245"/>
      <c r="L61" s="245"/>
      <c r="M61" s="245"/>
      <c r="N61" s="245"/>
      <c r="O61" s="215"/>
      <c r="P61" s="215"/>
      <c r="Q61" s="215"/>
      <c r="R61" s="215"/>
    </row>
    <row r="62" spans="1:18" s="230" customFormat="1" ht="15" customHeight="1" x14ac:dyDescent="0.25">
      <c r="A62" s="214"/>
      <c r="B62" s="179"/>
      <c r="C62" s="327"/>
      <c r="D62" s="328"/>
      <c r="E62" s="184" t="s">
        <v>17</v>
      </c>
      <c r="F62" s="324" t="s">
        <v>60</v>
      </c>
      <c r="G62" s="324"/>
      <c r="H62" s="186">
        <v>550</v>
      </c>
      <c r="I62" s="183"/>
      <c r="J62" s="245"/>
      <c r="K62" s="245"/>
      <c r="L62" s="245"/>
      <c r="M62" s="245"/>
      <c r="N62" s="245"/>
      <c r="O62" s="215"/>
      <c r="P62" s="215"/>
      <c r="Q62" s="215"/>
      <c r="R62" s="215"/>
    </row>
    <row r="63" spans="1:18" s="230" customFormat="1" ht="15" customHeight="1" x14ac:dyDescent="0.25">
      <c r="A63" s="214"/>
      <c r="B63" s="179"/>
      <c r="C63" s="327"/>
      <c r="D63" s="328"/>
      <c r="E63" s="184" t="s">
        <v>17</v>
      </c>
      <c r="F63" s="324" t="s">
        <v>61</v>
      </c>
      <c r="G63" s="324"/>
      <c r="H63" s="186">
        <v>100</v>
      </c>
      <c r="I63" s="183"/>
      <c r="J63" s="245"/>
      <c r="K63" s="245"/>
      <c r="L63" s="245"/>
      <c r="M63" s="245"/>
      <c r="N63" s="245"/>
      <c r="O63" s="215"/>
      <c r="P63" s="215"/>
      <c r="Q63" s="215"/>
      <c r="R63" s="215"/>
    </row>
    <row r="64" spans="1:18" s="230" customFormat="1" ht="15" customHeight="1" x14ac:dyDescent="0.25">
      <c r="A64" s="214"/>
      <c r="B64" s="179"/>
      <c r="C64" s="327"/>
      <c r="D64" s="328"/>
      <c r="E64" s="184" t="s">
        <v>17</v>
      </c>
      <c r="F64" s="324" t="s">
        <v>62</v>
      </c>
      <c r="G64" s="324"/>
      <c r="H64" s="186">
        <v>100</v>
      </c>
      <c r="I64" s="183"/>
      <c r="J64" s="245"/>
      <c r="K64" s="245"/>
      <c r="L64" s="245"/>
      <c r="M64" s="245"/>
      <c r="N64" s="245"/>
      <c r="O64" s="215"/>
      <c r="P64" s="215"/>
      <c r="Q64" s="215"/>
      <c r="R64" s="215"/>
    </row>
    <row r="65" spans="1:18" s="230" customFormat="1" ht="15" customHeight="1" x14ac:dyDescent="0.25">
      <c r="A65" s="214"/>
      <c r="B65" s="179"/>
      <c r="C65" s="327"/>
      <c r="D65" s="328"/>
      <c r="E65" s="184" t="s">
        <v>17</v>
      </c>
      <c r="F65" s="324" t="s">
        <v>63</v>
      </c>
      <c r="G65" s="324"/>
      <c r="H65" s="186">
        <v>250</v>
      </c>
      <c r="I65" s="183"/>
      <c r="J65" s="245"/>
      <c r="K65" s="245"/>
      <c r="L65" s="245"/>
      <c r="M65" s="245"/>
      <c r="N65" s="245"/>
      <c r="O65" s="215"/>
      <c r="P65" s="215"/>
      <c r="Q65" s="215"/>
      <c r="R65" s="215"/>
    </row>
    <row r="66" spans="1:18" s="230" customFormat="1" ht="15" customHeight="1" x14ac:dyDescent="0.25">
      <c r="A66" s="214"/>
      <c r="B66" s="179"/>
      <c r="C66" s="327"/>
      <c r="D66" s="328"/>
      <c r="E66" s="184" t="s">
        <v>17</v>
      </c>
      <c r="F66" s="324" t="s">
        <v>64</v>
      </c>
      <c r="G66" s="324"/>
      <c r="H66" s="186">
        <v>450</v>
      </c>
      <c r="I66" s="183"/>
      <c r="J66" s="245"/>
      <c r="K66" s="245"/>
      <c r="L66" s="245"/>
      <c r="M66" s="245"/>
      <c r="N66" s="245"/>
      <c r="O66" s="215"/>
      <c r="P66" s="215"/>
      <c r="Q66" s="215"/>
      <c r="R66" s="215"/>
    </row>
    <row r="67" spans="1:18" ht="15" customHeight="1" x14ac:dyDescent="0.25">
      <c r="B67" s="179"/>
      <c r="C67" s="327"/>
      <c r="D67" s="328"/>
      <c r="E67" s="184" t="s">
        <v>17</v>
      </c>
      <c r="F67" s="324" t="s">
        <v>65</v>
      </c>
      <c r="G67" s="324"/>
      <c r="H67" s="186">
        <v>340</v>
      </c>
      <c r="I67" s="183"/>
    </row>
    <row r="68" spans="1:18" ht="15" customHeight="1" x14ac:dyDescent="0.25">
      <c r="B68" s="179"/>
      <c r="C68" s="327"/>
      <c r="D68" s="328"/>
      <c r="E68" s="184" t="s">
        <v>17</v>
      </c>
      <c r="F68" s="324" t="s">
        <v>66</v>
      </c>
      <c r="G68" s="324"/>
      <c r="H68" s="186">
        <v>340</v>
      </c>
      <c r="I68" s="183"/>
    </row>
    <row r="69" spans="1:18" ht="15" customHeight="1" x14ac:dyDescent="0.25">
      <c r="B69" s="179"/>
      <c r="C69" s="327"/>
      <c r="D69" s="328"/>
      <c r="E69" s="184" t="s">
        <v>17</v>
      </c>
      <c r="F69" s="187" t="s">
        <v>67</v>
      </c>
      <c r="G69" s="188"/>
      <c r="H69" s="186">
        <v>100</v>
      </c>
      <c r="I69" s="183"/>
    </row>
    <row r="70" spans="1:18" ht="15" customHeight="1" x14ac:dyDescent="0.25">
      <c r="B70" s="179"/>
      <c r="C70" s="327"/>
      <c r="D70" s="328"/>
      <c r="E70" s="184" t="s">
        <v>17</v>
      </c>
      <c r="F70" s="324" t="s">
        <v>68</v>
      </c>
      <c r="G70" s="324"/>
      <c r="H70" s="186">
        <v>100</v>
      </c>
      <c r="I70" s="183"/>
    </row>
    <row r="71" spans="1:18" ht="15" customHeight="1" x14ac:dyDescent="0.25">
      <c r="B71" s="179"/>
      <c r="C71" s="327"/>
      <c r="D71" s="328"/>
      <c r="E71" s="184" t="s">
        <v>17</v>
      </c>
      <c r="F71" s="187" t="s">
        <v>69</v>
      </c>
      <c r="G71" s="188"/>
      <c r="H71" s="186">
        <v>420</v>
      </c>
      <c r="I71" s="183"/>
    </row>
    <row r="72" spans="1:18" ht="15" customHeight="1" x14ac:dyDescent="0.25">
      <c r="B72" s="179"/>
      <c r="C72" s="327"/>
      <c r="D72" s="328"/>
      <c r="E72" s="184" t="s">
        <v>17</v>
      </c>
      <c r="F72" s="324" t="s">
        <v>70</v>
      </c>
      <c r="G72" s="324"/>
      <c r="H72" s="186">
        <v>100</v>
      </c>
      <c r="I72" s="183"/>
    </row>
    <row r="73" spans="1:18" ht="15" customHeight="1" x14ac:dyDescent="0.25">
      <c r="B73" s="179"/>
      <c r="C73" s="327"/>
      <c r="D73" s="328"/>
      <c r="E73" s="184" t="s">
        <v>17</v>
      </c>
      <c r="F73" s="324" t="s">
        <v>71</v>
      </c>
      <c r="G73" s="324"/>
      <c r="H73" s="186">
        <v>100</v>
      </c>
      <c r="I73" s="183"/>
    </row>
    <row r="74" spans="1:18" ht="15" customHeight="1" x14ac:dyDescent="0.25">
      <c r="B74" s="179"/>
      <c r="C74" s="327"/>
      <c r="D74" s="328"/>
      <c r="E74" s="184" t="s">
        <v>17</v>
      </c>
      <c r="F74" s="187" t="s">
        <v>72</v>
      </c>
      <c r="G74" s="188"/>
      <c r="H74" s="186">
        <v>275</v>
      </c>
      <c r="I74" s="183"/>
    </row>
    <row r="75" spans="1:18" ht="15" customHeight="1" x14ac:dyDescent="0.25">
      <c r="B75" s="179"/>
      <c r="C75" s="327"/>
      <c r="D75" s="328"/>
      <c r="E75" s="184" t="s">
        <v>17</v>
      </c>
      <c r="F75" s="187" t="s">
        <v>73</v>
      </c>
      <c r="G75" s="188"/>
      <c r="H75" s="186">
        <v>275</v>
      </c>
      <c r="I75" s="183"/>
    </row>
    <row r="76" spans="1:18" ht="15" customHeight="1" x14ac:dyDescent="0.25">
      <c r="B76" s="179"/>
      <c r="C76" s="327"/>
      <c r="D76" s="328"/>
      <c r="E76" s="184" t="s">
        <v>17</v>
      </c>
      <c r="F76" s="187" t="s">
        <v>74</v>
      </c>
      <c r="G76" s="188"/>
      <c r="H76" s="186">
        <v>275</v>
      </c>
      <c r="I76" s="183"/>
    </row>
    <row r="77" spans="1:18" ht="15" customHeight="1" x14ac:dyDescent="0.25">
      <c r="B77" s="179"/>
      <c r="C77" s="327"/>
      <c r="D77" s="328"/>
      <c r="E77" s="184" t="s">
        <v>17</v>
      </c>
      <c r="F77" s="187" t="s">
        <v>75</v>
      </c>
      <c r="G77" s="188"/>
      <c r="H77" s="186">
        <v>100</v>
      </c>
      <c r="I77" s="183"/>
    </row>
    <row r="78" spans="1:18" ht="15" customHeight="1" x14ac:dyDescent="0.25">
      <c r="B78" s="179"/>
      <c r="C78" s="327"/>
      <c r="D78" s="328"/>
      <c r="E78" s="184" t="s">
        <v>17</v>
      </c>
      <c r="F78" s="324" t="s">
        <v>76</v>
      </c>
      <c r="G78" s="324"/>
      <c r="H78" s="186">
        <v>350</v>
      </c>
      <c r="I78" s="183"/>
      <c r="N78" s="260"/>
      <c r="O78" s="234"/>
      <c r="P78" s="234"/>
    </row>
    <row r="79" spans="1:18" ht="15" customHeight="1" x14ac:dyDescent="0.25">
      <c r="B79" s="179"/>
      <c r="C79" s="327"/>
      <c r="D79" s="328"/>
      <c r="E79" s="184" t="s">
        <v>17</v>
      </c>
      <c r="F79" s="340" t="s">
        <v>77</v>
      </c>
      <c r="G79" s="340"/>
      <c r="H79" s="189">
        <v>120</v>
      </c>
      <c r="I79" s="183"/>
    </row>
    <row r="80" spans="1:18" ht="15" customHeight="1" x14ac:dyDescent="0.25">
      <c r="B80" s="179"/>
      <c r="C80" s="325" t="s">
        <v>78</v>
      </c>
      <c r="D80" s="190" t="s">
        <v>79</v>
      </c>
      <c r="E80" s="191"/>
      <c r="F80" s="192"/>
      <c r="G80" s="192"/>
      <c r="H80" s="193"/>
      <c r="I80" s="183"/>
      <c r="O80" s="234"/>
      <c r="P80" s="233"/>
    </row>
    <row r="81" spans="2:9" ht="15" customHeight="1" x14ac:dyDescent="0.25">
      <c r="B81" s="179"/>
      <c r="C81" s="327"/>
      <c r="D81" s="283"/>
      <c r="E81" s="194" t="s">
        <v>80</v>
      </c>
      <c r="F81" s="195" t="s">
        <v>81</v>
      </c>
      <c r="G81" s="188"/>
      <c r="H81" s="196">
        <v>250</v>
      </c>
      <c r="I81" s="183"/>
    </row>
    <row r="82" spans="2:9" ht="15" customHeight="1" x14ac:dyDescent="0.25">
      <c r="B82" s="179"/>
      <c r="C82" s="327"/>
      <c r="D82" s="283"/>
      <c r="E82" s="194" t="s">
        <v>80</v>
      </c>
      <c r="F82" s="324" t="s">
        <v>82</v>
      </c>
      <c r="G82" s="324"/>
      <c r="H82" s="186">
        <v>50</v>
      </c>
      <c r="I82" s="183"/>
    </row>
    <row r="83" spans="2:9" ht="15" customHeight="1" x14ac:dyDescent="0.25">
      <c r="B83" s="179"/>
      <c r="C83" s="327"/>
      <c r="D83" s="283"/>
      <c r="E83" s="194" t="s">
        <v>80</v>
      </c>
      <c r="F83" s="187" t="s">
        <v>83</v>
      </c>
      <c r="G83" s="188"/>
      <c r="H83" s="186">
        <v>65</v>
      </c>
      <c r="I83" s="183"/>
    </row>
    <row r="84" spans="2:9" ht="15" customHeight="1" x14ac:dyDescent="0.25">
      <c r="B84" s="179"/>
      <c r="C84" s="327"/>
      <c r="D84" s="283"/>
      <c r="E84" s="194" t="s">
        <v>80</v>
      </c>
      <c r="F84" s="324" t="s">
        <v>84</v>
      </c>
      <c r="G84" s="324"/>
      <c r="H84" s="186">
        <v>50</v>
      </c>
      <c r="I84" s="183"/>
    </row>
    <row r="85" spans="2:9" ht="15" customHeight="1" x14ac:dyDescent="0.25">
      <c r="B85" s="179"/>
      <c r="C85" s="327"/>
      <c r="D85" s="283"/>
      <c r="E85" s="194" t="s">
        <v>80</v>
      </c>
      <c r="F85" s="324" t="s">
        <v>85</v>
      </c>
      <c r="G85" s="324"/>
      <c r="H85" s="186">
        <v>50</v>
      </c>
      <c r="I85" s="183"/>
    </row>
    <row r="86" spans="2:9" ht="15" customHeight="1" x14ac:dyDescent="0.25">
      <c r="B86" s="179"/>
      <c r="C86" s="327"/>
      <c r="D86" s="283"/>
      <c r="E86" s="194" t="s">
        <v>80</v>
      </c>
      <c r="F86" s="324" t="s">
        <v>86</v>
      </c>
      <c r="G86" s="324"/>
      <c r="H86" s="186">
        <v>70</v>
      </c>
      <c r="I86" s="183"/>
    </row>
    <row r="87" spans="2:9" ht="15" customHeight="1" x14ac:dyDescent="0.25">
      <c r="B87" s="179"/>
      <c r="C87" s="327"/>
      <c r="D87" s="283"/>
      <c r="E87" s="194" t="s">
        <v>80</v>
      </c>
      <c r="F87" s="197" t="s">
        <v>87</v>
      </c>
      <c r="G87" s="188"/>
      <c r="H87" s="186">
        <v>250</v>
      </c>
      <c r="I87" s="183"/>
    </row>
    <row r="88" spans="2:9" ht="15" customHeight="1" x14ac:dyDescent="0.25">
      <c r="B88" s="179"/>
      <c r="C88" s="327"/>
      <c r="D88" s="283"/>
      <c r="E88" s="194" t="s">
        <v>80</v>
      </c>
      <c r="F88" s="197" t="s">
        <v>88</v>
      </c>
      <c r="G88" s="188"/>
      <c r="H88" s="186">
        <v>250</v>
      </c>
      <c r="I88" s="183"/>
    </row>
    <row r="89" spans="2:9" ht="15" customHeight="1" x14ac:dyDescent="0.25">
      <c r="B89" s="179"/>
      <c r="C89" s="327"/>
      <c r="D89" s="283"/>
      <c r="E89" s="194" t="s">
        <v>80</v>
      </c>
      <c r="F89" s="324" t="s">
        <v>89</v>
      </c>
      <c r="G89" s="324"/>
      <c r="H89" s="186">
        <v>60</v>
      </c>
      <c r="I89" s="183"/>
    </row>
    <row r="90" spans="2:9" ht="15" customHeight="1" x14ac:dyDescent="0.25">
      <c r="B90" s="179"/>
      <c r="C90" s="327"/>
      <c r="D90" s="283"/>
      <c r="E90" s="194" t="s">
        <v>80</v>
      </c>
      <c r="F90" s="324" t="s">
        <v>90</v>
      </c>
      <c r="G90" s="324"/>
      <c r="H90" s="186">
        <v>100</v>
      </c>
      <c r="I90" s="183"/>
    </row>
    <row r="91" spans="2:9" ht="15" customHeight="1" x14ac:dyDescent="0.25">
      <c r="B91" s="179"/>
      <c r="C91" s="327"/>
      <c r="D91" s="283"/>
      <c r="E91" s="194" t="s">
        <v>80</v>
      </c>
      <c r="F91" s="187" t="s">
        <v>91</v>
      </c>
      <c r="G91" s="188"/>
      <c r="H91" s="186">
        <v>140</v>
      </c>
      <c r="I91" s="183"/>
    </row>
    <row r="92" spans="2:9" ht="15" customHeight="1" x14ac:dyDescent="0.25">
      <c r="B92" s="179"/>
      <c r="C92" s="327"/>
      <c r="D92" s="283"/>
      <c r="E92" s="194" t="s">
        <v>80</v>
      </c>
      <c r="F92" s="324" t="s">
        <v>92</v>
      </c>
      <c r="G92" s="324"/>
      <c r="H92" s="186">
        <v>50</v>
      </c>
      <c r="I92" s="183"/>
    </row>
    <row r="93" spans="2:9" ht="15" customHeight="1" x14ac:dyDescent="0.25">
      <c r="B93" s="179"/>
      <c r="C93" s="327"/>
      <c r="D93" s="283"/>
      <c r="E93" s="194" t="s">
        <v>80</v>
      </c>
      <c r="F93" s="324" t="s">
        <v>93</v>
      </c>
      <c r="G93" s="324"/>
      <c r="H93" s="186">
        <v>50</v>
      </c>
      <c r="I93" s="183"/>
    </row>
    <row r="94" spans="2:9" ht="15" customHeight="1" x14ac:dyDescent="0.25">
      <c r="B94" s="179"/>
      <c r="C94" s="327"/>
      <c r="D94" s="283"/>
      <c r="E94" s="194" t="s">
        <v>80</v>
      </c>
      <c r="F94" s="324" t="s">
        <v>94</v>
      </c>
      <c r="G94" s="324"/>
      <c r="H94" s="186">
        <v>100</v>
      </c>
      <c r="I94" s="183"/>
    </row>
    <row r="95" spans="2:9" ht="15" customHeight="1" x14ac:dyDescent="0.25">
      <c r="B95" s="179"/>
      <c r="C95" s="327"/>
      <c r="D95" s="283"/>
      <c r="E95" s="194" t="s">
        <v>80</v>
      </c>
      <c r="F95" s="187" t="s">
        <v>95</v>
      </c>
      <c r="G95" s="188"/>
      <c r="H95" s="186">
        <v>50</v>
      </c>
      <c r="I95" s="183"/>
    </row>
    <row r="96" spans="2:9" ht="15" customHeight="1" x14ac:dyDescent="0.25">
      <c r="B96" s="179"/>
      <c r="C96" s="327"/>
      <c r="D96" s="283"/>
      <c r="E96" s="194" t="s">
        <v>80</v>
      </c>
      <c r="F96" s="187" t="s">
        <v>96</v>
      </c>
      <c r="G96" s="188"/>
      <c r="H96" s="186">
        <v>50</v>
      </c>
      <c r="I96" s="183"/>
    </row>
    <row r="97" spans="2:9" ht="15" customHeight="1" x14ac:dyDescent="0.25">
      <c r="B97" s="179"/>
      <c r="C97" s="327"/>
      <c r="D97" s="198" t="s">
        <v>97</v>
      </c>
      <c r="E97" s="191"/>
      <c r="F97" s="199"/>
      <c r="G97" s="199"/>
      <c r="H97" s="200"/>
      <c r="I97" s="183"/>
    </row>
    <row r="98" spans="2:9" ht="15" customHeight="1" x14ac:dyDescent="0.25">
      <c r="B98" s="179"/>
      <c r="C98" s="327"/>
      <c r="D98" s="283"/>
      <c r="E98" s="194" t="s">
        <v>80</v>
      </c>
      <c r="F98" s="324" t="s">
        <v>98</v>
      </c>
      <c r="G98" s="324"/>
      <c r="H98" s="186">
        <v>350</v>
      </c>
      <c r="I98" s="183"/>
    </row>
    <row r="99" spans="2:9" ht="15" customHeight="1" x14ac:dyDescent="0.25">
      <c r="B99" s="179"/>
      <c r="C99" s="327"/>
      <c r="D99" s="283"/>
      <c r="E99" s="194" t="s">
        <v>80</v>
      </c>
      <c r="F99" s="187" t="s">
        <v>99</v>
      </c>
      <c r="G99" s="188"/>
      <c r="H99" s="186">
        <v>80</v>
      </c>
      <c r="I99" s="183"/>
    </row>
    <row r="100" spans="2:9" ht="15" customHeight="1" x14ac:dyDescent="0.25">
      <c r="B100" s="179"/>
      <c r="C100" s="327"/>
      <c r="D100" s="283"/>
      <c r="E100" s="194" t="s">
        <v>80</v>
      </c>
      <c r="F100" s="187" t="s">
        <v>100</v>
      </c>
      <c r="G100" s="188"/>
      <c r="H100" s="186">
        <v>250</v>
      </c>
      <c r="I100" s="183"/>
    </row>
    <row r="101" spans="2:9" ht="15" customHeight="1" x14ac:dyDescent="0.25">
      <c r="B101" s="179"/>
      <c r="C101" s="327"/>
      <c r="D101" s="283"/>
      <c r="E101" s="194" t="s">
        <v>80</v>
      </c>
      <c r="F101" s="324" t="s">
        <v>101</v>
      </c>
      <c r="G101" s="324"/>
      <c r="H101" s="186">
        <v>325</v>
      </c>
      <c r="I101" s="183"/>
    </row>
    <row r="102" spans="2:9" ht="15" customHeight="1" x14ac:dyDescent="0.25">
      <c r="B102" s="179"/>
      <c r="C102" s="327"/>
      <c r="D102" s="283"/>
      <c r="E102" s="194" t="s">
        <v>80</v>
      </c>
      <c r="F102" s="187" t="s">
        <v>102</v>
      </c>
      <c r="G102" s="188"/>
      <c r="H102" s="186">
        <v>510</v>
      </c>
      <c r="I102" s="183"/>
    </row>
    <row r="103" spans="2:9" ht="15" customHeight="1" x14ac:dyDescent="0.25">
      <c r="B103" s="179"/>
      <c r="C103" s="327"/>
      <c r="D103" s="283"/>
      <c r="E103" s="194" t="s">
        <v>80</v>
      </c>
      <c r="F103" s="324" t="s">
        <v>103</v>
      </c>
      <c r="G103" s="324"/>
      <c r="H103" s="186">
        <v>490</v>
      </c>
      <c r="I103" s="183"/>
    </row>
    <row r="104" spans="2:9" ht="15" customHeight="1" x14ac:dyDescent="0.25">
      <c r="B104" s="179"/>
      <c r="C104" s="327"/>
      <c r="D104" s="283"/>
      <c r="E104" s="194" t="s">
        <v>80</v>
      </c>
      <c r="F104" s="324" t="s">
        <v>104</v>
      </c>
      <c r="G104" s="324"/>
      <c r="H104" s="186">
        <v>510</v>
      </c>
      <c r="I104" s="183"/>
    </row>
    <row r="105" spans="2:9" ht="15" customHeight="1" x14ac:dyDescent="0.25">
      <c r="B105" s="179"/>
      <c r="C105" s="327"/>
      <c r="D105" s="283"/>
      <c r="E105" s="194" t="s">
        <v>80</v>
      </c>
      <c r="F105" s="324" t="s">
        <v>105</v>
      </c>
      <c r="G105" s="324"/>
      <c r="H105" s="186">
        <v>100</v>
      </c>
      <c r="I105" s="183"/>
    </row>
    <row r="106" spans="2:9" ht="15" customHeight="1" x14ac:dyDescent="0.25">
      <c r="B106" s="179"/>
      <c r="C106" s="327"/>
      <c r="D106" s="283"/>
      <c r="E106" s="194" t="s">
        <v>80</v>
      </c>
      <c r="F106" s="324" t="s">
        <v>106</v>
      </c>
      <c r="G106" s="324"/>
      <c r="H106" s="186">
        <v>250</v>
      </c>
      <c r="I106" s="183"/>
    </row>
    <row r="107" spans="2:9" ht="15" customHeight="1" x14ac:dyDescent="0.25">
      <c r="B107" s="179"/>
      <c r="C107" s="327"/>
      <c r="D107" s="283"/>
      <c r="E107" s="194" t="s">
        <v>80</v>
      </c>
      <c r="F107" s="324" t="s">
        <v>107</v>
      </c>
      <c r="G107" s="324"/>
      <c r="H107" s="186">
        <v>250</v>
      </c>
      <c r="I107" s="183"/>
    </row>
    <row r="108" spans="2:9" ht="15" customHeight="1" x14ac:dyDescent="0.25">
      <c r="B108" s="179"/>
      <c r="C108" s="327"/>
      <c r="D108" s="283"/>
      <c r="E108" s="194" t="s">
        <v>80</v>
      </c>
      <c r="F108" s="187" t="s">
        <v>108</v>
      </c>
      <c r="G108" s="188"/>
      <c r="H108" s="186">
        <v>780</v>
      </c>
      <c r="I108" s="183"/>
    </row>
    <row r="109" spans="2:9" ht="15" customHeight="1" x14ac:dyDescent="0.25">
      <c r="B109" s="179"/>
      <c r="C109" s="327"/>
      <c r="D109" s="283"/>
      <c r="E109" s="194" t="s">
        <v>80</v>
      </c>
      <c r="F109" s="187" t="s">
        <v>109</v>
      </c>
      <c r="G109" s="188"/>
      <c r="H109" s="186">
        <v>100</v>
      </c>
      <c r="I109" s="183"/>
    </row>
    <row r="110" spans="2:9" ht="15" customHeight="1" x14ac:dyDescent="0.25">
      <c r="B110" s="179"/>
      <c r="C110" s="327"/>
      <c r="D110" s="283"/>
      <c r="E110" s="194" t="s">
        <v>80</v>
      </c>
      <c r="F110" s="187" t="s">
        <v>110</v>
      </c>
      <c r="G110" s="188"/>
      <c r="H110" s="186">
        <v>250</v>
      </c>
      <c r="I110" s="183"/>
    </row>
    <row r="111" spans="2:9" ht="15" customHeight="1" x14ac:dyDescent="0.25">
      <c r="B111" s="179"/>
      <c r="C111" s="327"/>
      <c r="D111" s="283"/>
      <c r="E111" s="194" t="s">
        <v>80</v>
      </c>
      <c r="F111" s="187" t="s">
        <v>111</v>
      </c>
      <c r="G111" s="188"/>
      <c r="H111" s="186">
        <v>170</v>
      </c>
      <c r="I111" s="183"/>
    </row>
    <row r="112" spans="2:9" ht="15" customHeight="1" x14ac:dyDescent="0.25">
      <c r="B112" s="179"/>
      <c r="C112" s="327"/>
      <c r="D112" s="283"/>
      <c r="E112" s="194" t="s">
        <v>80</v>
      </c>
      <c r="F112" s="187" t="s">
        <v>112</v>
      </c>
      <c r="G112" s="188"/>
      <c r="H112" s="186">
        <v>250</v>
      </c>
      <c r="I112" s="183"/>
    </row>
    <row r="113" spans="2:9" ht="15" customHeight="1" x14ac:dyDescent="0.25">
      <c r="B113" s="179"/>
      <c r="C113" s="327"/>
      <c r="D113" s="198" t="s">
        <v>113</v>
      </c>
      <c r="E113" s="191"/>
      <c r="F113" s="199"/>
      <c r="G113" s="199"/>
      <c r="H113" s="200"/>
      <c r="I113" s="183"/>
    </row>
    <row r="114" spans="2:9" ht="15" customHeight="1" x14ac:dyDescent="0.25">
      <c r="B114" s="179"/>
      <c r="C114" s="327"/>
      <c r="D114" s="283"/>
      <c r="E114" s="194" t="s">
        <v>80</v>
      </c>
      <c r="F114" s="324" t="s">
        <v>114</v>
      </c>
      <c r="G114" s="324"/>
      <c r="H114" s="186">
        <v>30</v>
      </c>
      <c r="I114" s="183"/>
    </row>
    <row r="115" spans="2:9" ht="15" customHeight="1" x14ac:dyDescent="0.25">
      <c r="B115" s="179"/>
      <c r="C115" s="327"/>
      <c r="D115" s="283"/>
      <c r="E115" s="194" t="s">
        <v>80</v>
      </c>
      <c r="F115" s="324" t="s">
        <v>115</v>
      </c>
      <c r="G115" s="324"/>
      <c r="H115" s="186">
        <v>50</v>
      </c>
      <c r="I115" s="183"/>
    </row>
    <row r="116" spans="2:9" ht="15" customHeight="1" x14ac:dyDescent="0.25">
      <c r="B116" s="179"/>
      <c r="C116" s="327"/>
      <c r="D116" s="283"/>
      <c r="E116" s="194" t="s">
        <v>80</v>
      </c>
      <c r="F116" s="324" t="s">
        <v>116</v>
      </c>
      <c r="G116" s="324"/>
      <c r="H116" s="186">
        <v>50</v>
      </c>
      <c r="I116" s="183"/>
    </row>
    <row r="117" spans="2:9" ht="15" customHeight="1" x14ac:dyDescent="0.25">
      <c r="B117" s="179"/>
      <c r="C117" s="327"/>
      <c r="D117" s="283"/>
      <c r="E117" s="194" t="s">
        <v>80</v>
      </c>
      <c r="F117" s="324" t="s">
        <v>117</v>
      </c>
      <c r="G117" s="324"/>
      <c r="H117" s="186">
        <v>30</v>
      </c>
      <c r="I117" s="183"/>
    </row>
    <row r="118" spans="2:9" ht="15" customHeight="1" x14ac:dyDescent="0.25">
      <c r="B118" s="179"/>
      <c r="C118" s="327"/>
      <c r="D118" s="283"/>
      <c r="E118" s="194" t="s">
        <v>80</v>
      </c>
      <c r="F118" s="340" t="s">
        <v>118</v>
      </c>
      <c r="G118" s="340"/>
      <c r="H118" s="189">
        <v>80</v>
      </c>
      <c r="I118" s="183"/>
    </row>
    <row r="119" spans="2:9" ht="15" customHeight="1" x14ac:dyDescent="0.25">
      <c r="B119" s="179"/>
      <c r="C119" s="327"/>
      <c r="D119" s="283"/>
      <c r="E119" s="194" t="s">
        <v>80</v>
      </c>
      <c r="F119" s="201" t="s">
        <v>119</v>
      </c>
      <c r="G119" s="188"/>
      <c r="H119" s="189">
        <v>200</v>
      </c>
      <c r="I119" s="183"/>
    </row>
    <row r="120" spans="2:9" ht="15" customHeight="1" x14ac:dyDescent="0.25">
      <c r="B120" s="179"/>
      <c r="C120" s="327"/>
      <c r="D120" s="198" t="s">
        <v>120</v>
      </c>
      <c r="E120" s="202"/>
      <c r="F120" s="203"/>
      <c r="G120" s="199"/>
      <c r="H120" s="200"/>
      <c r="I120" s="183"/>
    </row>
    <row r="121" spans="2:9" ht="15" customHeight="1" x14ac:dyDescent="0.25">
      <c r="B121" s="179"/>
      <c r="C121" s="327"/>
      <c r="D121" s="283"/>
      <c r="E121" s="194" t="s">
        <v>80</v>
      </c>
      <c r="F121" s="324" t="s">
        <v>121</v>
      </c>
      <c r="G121" s="324"/>
      <c r="H121" s="186">
        <v>250</v>
      </c>
      <c r="I121" s="183"/>
    </row>
    <row r="122" spans="2:9" ht="15" customHeight="1" x14ac:dyDescent="0.25">
      <c r="B122" s="179"/>
      <c r="C122" s="327"/>
      <c r="D122" s="283"/>
      <c r="E122" s="194" t="s">
        <v>80</v>
      </c>
      <c r="F122" s="187" t="s">
        <v>122</v>
      </c>
      <c r="G122" s="188"/>
      <c r="H122" s="186">
        <v>250</v>
      </c>
      <c r="I122" s="183"/>
    </row>
    <row r="123" spans="2:9" ht="15" customHeight="1" x14ac:dyDescent="0.25">
      <c r="B123" s="179"/>
      <c r="C123" s="327"/>
      <c r="D123" s="283"/>
      <c r="E123" s="194" t="s">
        <v>80</v>
      </c>
      <c r="F123" s="187" t="s">
        <v>123</v>
      </c>
      <c r="G123" s="188"/>
      <c r="H123" s="186">
        <v>250</v>
      </c>
      <c r="I123" s="183"/>
    </row>
    <row r="124" spans="2:9" ht="15" customHeight="1" x14ac:dyDescent="0.25">
      <c r="B124" s="179"/>
      <c r="C124" s="327"/>
      <c r="D124" s="283"/>
      <c r="E124" s="194" t="s">
        <v>80</v>
      </c>
      <c r="F124" s="324" t="s">
        <v>124</v>
      </c>
      <c r="G124" s="324"/>
      <c r="H124" s="186">
        <v>250</v>
      </c>
      <c r="I124" s="183"/>
    </row>
    <row r="125" spans="2:9" ht="15" customHeight="1" x14ac:dyDescent="0.25">
      <c r="B125" s="179"/>
      <c r="C125" s="327"/>
      <c r="D125" s="283"/>
      <c r="E125" s="194" t="s">
        <v>80</v>
      </c>
      <c r="F125" s="187" t="s">
        <v>125</v>
      </c>
      <c r="G125" s="188"/>
      <c r="H125" s="186">
        <v>250</v>
      </c>
      <c r="I125" s="183"/>
    </row>
    <row r="126" spans="2:9" ht="15" customHeight="1" x14ac:dyDescent="0.25">
      <c r="B126" s="179"/>
      <c r="C126" s="327"/>
      <c r="D126" s="283"/>
      <c r="E126" s="194" t="s">
        <v>80</v>
      </c>
      <c r="F126" s="187" t="s">
        <v>126</v>
      </c>
      <c r="G126" s="188"/>
      <c r="H126" s="186">
        <v>250</v>
      </c>
      <c r="I126" s="183"/>
    </row>
    <row r="127" spans="2:9" ht="15" customHeight="1" x14ac:dyDescent="0.25">
      <c r="B127" s="179"/>
      <c r="C127" s="327"/>
      <c r="D127" s="283"/>
      <c r="E127" s="194" t="s">
        <v>80</v>
      </c>
      <c r="F127" s="187" t="s">
        <v>127</v>
      </c>
      <c r="G127" s="188"/>
      <c r="H127" s="186">
        <v>450</v>
      </c>
      <c r="I127" s="183"/>
    </row>
    <row r="128" spans="2:9" ht="15" customHeight="1" x14ac:dyDescent="0.25">
      <c r="B128" s="179"/>
      <c r="C128" s="327"/>
      <c r="D128" s="283"/>
      <c r="E128" s="194" t="s">
        <v>80</v>
      </c>
      <c r="F128" s="187" t="s">
        <v>128</v>
      </c>
      <c r="G128" s="188"/>
      <c r="H128" s="186">
        <v>300</v>
      </c>
      <c r="I128" s="183"/>
    </row>
    <row r="129" spans="2:9" ht="15" customHeight="1" x14ac:dyDescent="0.25">
      <c r="B129" s="179"/>
      <c r="C129" s="327"/>
      <c r="D129" s="283"/>
      <c r="E129" s="194" t="s">
        <v>80</v>
      </c>
      <c r="F129" s="187" t="s">
        <v>129</v>
      </c>
      <c r="G129" s="188"/>
      <c r="H129" s="186">
        <v>50</v>
      </c>
      <c r="I129" s="183"/>
    </row>
    <row r="130" spans="2:9" ht="15" customHeight="1" x14ac:dyDescent="0.25">
      <c r="B130" s="179"/>
      <c r="C130" s="327"/>
      <c r="D130" s="283"/>
      <c r="E130" s="194" t="s">
        <v>80</v>
      </c>
      <c r="F130" s="324" t="s">
        <v>130</v>
      </c>
      <c r="G130" s="324"/>
      <c r="H130" s="186">
        <v>760</v>
      </c>
      <c r="I130" s="183"/>
    </row>
    <row r="131" spans="2:9" ht="15" customHeight="1" x14ac:dyDescent="0.25">
      <c r="B131" s="179"/>
      <c r="C131" s="327"/>
      <c r="D131" s="283"/>
      <c r="E131" s="194" t="s">
        <v>80</v>
      </c>
      <c r="F131" s="324" t="s">
        <v>131</v>
      </c>
      <c r="G131" s="324"/>
      <c r="H131" s="186">
        <v>420</v>
      </c>
      <c r="I131" s="183"/>
    </row>
    <row r="132" spans="2:9" ht="15" customHeight="1" x14ac:dyDescent="0.25">
      <c r="B132" s="179"/>
      <c r="C132" s="327"/>
      <c r="D132" s="198" t="s">
        <v>132</v>
      </c>
      <c r="E132" s="191"/>
      <c r="F132" s="199"/>
      <c r="G132" s="199"/>
      <c r="H132" s="200"/>
      <c r="I132" s="183"/>
    </row>
    <row r="133" spans="2:9" ht="15" customHeight="1" x14ac:dyDescent="0.25">
      <c r="B133" s="179"/>
      <c r="C133" s="327"/>
      <c r="D133" s="283"/>
      <c r="E133" s="194" t="s">
        <v>80</v>
      </c>
      <c r="F133" s="324" t="s">
        <v>133</v>
      </c>
      <c r="G133" s="324"/>
      <c r="H133" s="186">
        <v>550</v>
      </c>
      <c r="I133" s="183"/>
    </row>
    <row r="134" spans="2:9" ht="15" customHeight="1" x14ac:dyDescent="0.25">
      <c r="B134" s="179"/>
      <c r="C134" s="327"/>
      <c r="D134" s="283"/>
      <c r="E134" s="194" t="s">
        <v>80</v>
      </c>
      <c r="F134" s="324" t="s">
        <v>134</v>
      </c>
      <c r="G134" s="324"/>
      <c r="H134" s="186">
        <v>250</v>
      </c>
      <c r="I134" s="183"/>
    </row>
    <row r="135" spans="2:9" ht="15" customHeight="1" x14ac:dyDescent="0.25">
      <c r="B135" s="179"/>
      <c r="C135" s="327"/>
      <c r="D135" s="283"/>
      <c r="E135" s="194" t="s">
        <v>80</v>
      </c>
      <c r="F135" s="324" t="s">
        <v>135</v>
      </c>
      <c r="G135" s="324"/>
      <c r="H135" s="186">
        <v>150</v>
      </c>
      <c r="I135" s="183"/>
    </row>
    <row r="136" spans="2:9" ht="15" customHeight="1" x14ac:dyDescent="0.25">
      <c r="B136" s="179"/>
      <c r="C136" s="327"/>
      <c r="D136" s="283"/>
      <c r="E136" s="194" t="s">
        <v>80</v>
      </c>
      <c r="F136" s="324" t="s">
        <v>136</v>
      </c>
      <c r="G136" s="324"/>
      <c r="H136" s="186">
        <v>250</v>
      </c>
      <c r="I136" s="183"/>
    </row>
    <row r="137" spans="2:9" ht="15" customHeight="1" x14ac:dyDescent="0.25">
      <c r="B137" s="179"/>
      <c r="C137" s="327"/>
      <c r="D137" s="283"/>
      <c r="E137" s="194" t="s">
        <v>80</v>
      </c>
      <c r="F137" s="324" t="s">
        <v>137</v>
      </c>
      <c r="G137" s="324"/>
      <c r="H137" s="186">
        <v>250</v>
      </c>
      <c r="I137" s="183"/>
    </row>
    <row r="138" spans="2:9" ht="15" customHeight="1" x14ac:dyDescent="0.25">
      <c r="B138" s="179"/>
      <c r="C138" s="327"/>
      <c r="D138" s="198" t="s">
        <v>138</v>
      </c>
      <c r="E138" s="191"/>
      <c r="F138" s="199"/>
      <c r="G138" s="199"/>
      <c r="H138" s="200"/>
      <c r="I138" s="183"/>
    </row>
    <row r="139" spans="2:9" ht="15" customHeight="1" x14ac:dyDescent="0.25">
      <c r="B139" s="179"/>
      <c r="C139" s="327"/>
      <c r="D139" s="283"/>
      <c r="E139" s="194" t="s">
        <v>80</v>
      </c>
      <c r="F139" s="324" t="s">
        <v>139</v>
      </c>
      <c r="G139" s="324"/>
      <c r="H139" s="186">
        <v>250</v>
      </c>
      <c r="I139" s="183"/>
    </row>
    <row r="140" spans="2:9" ht="15" customHeight="1" x14ac:dyDescent="0.25">
      <c r="B140" s="179"/>
      <c r="C140" s="327"/>
      <c r="D140" s="283"/>
      <c r="E140" s="194" t="s">
        <v>80</v>
      </c>
      <c r="F140" s="324" t="s">
        <v>140</v>
      </c>
      <c r="G140" s="324"/>
      <c r="H140" s="186">
        <v>775</v>
      </c>
      <c r="I140" s="183"/>
    </row>
    <row r="141" spans="2:9" ht="15" customHeight="1" x14ac:dyDescent="0.25">
      <c r="B141" s="179"/>
      <c r="C141" s="327"/>
      <c r="D141" s="283"/>
      <c r="E141" s="194" t="s">
        <v>80</v>
      </c>
      <c r="F141" s="324" t="s">
        <v>141</v>
      </c>
      <c r="G141" s="324"/>
      <c r="H141" s="186">
        <v>500</v>
      </c>
      <c r="I141" s="183"/>
    </row>
    <row r="142" spans="2:9" ht="15" customHeight="1" x14ac:dyDescent="0.25">
      <c r="B142" s="179"/>
      <c r="C142" s="327"/>
      <c r="D142" s="283"/>
      <c r="E142" s="194" t="s">
        <v>80</v>
      </c>
      <c r="F142" s="324" t="s">
        <v>142</v>
      </c>
      <c r="G142" s="324"/>
      <c r="H142" s="186">
        <v>760</v>
      </c>
      <c r="I142" s="183"/>
    </row>
    <row r="143" spans="2:9" ht="15" customHeight="1" x14ac:dyDescent="0.25">
      <c r="B143" s="179"/>
      <c r="C143" s="327"/>
      <c r="D143" s="283"/>
      <c r="E143" s="194" t="s">
        <v>80</v>
      </c>
      <c r="F143" s="324" t="s">
        <v>143</v>
      </c>
      <c r="G143" s="324"/>
      <c r="H143" s="186">
        <v>750</v>
      </c>
      <c r="I143" s="183"/>
    </row>
    <row r="144" spans="2:9" ht="15" customHeight="1" x14ac:dyDescent="0.25">
      <c r="B144" s="179"/>
      <c r="C144" s="327"/>
      <c r="D144" s="198" t="s">
        <v>144</v>
      </c>
      <c r="E144" s="191"/>
      <c r="F144" s="199"/>
      <c r="G144" s="199"/>
      <c r="H144" s="200"/>
      <c r="I144" s="183"/>
    </row>
    <row r="145" spans="2:9" ht="15" customHeight="1" x14ac:dyDescent="0.25">
      <c r="B145" s="179"/>
      <c r="C145" s="329"/>
      <c r="D145" s="284"/>
      <c r="E145" s="204" t="s">
        <v>80</v>
      </c>
      <c r="F145" s="324" t="s">
        <v>145</v>
      </c>
      <c r="G145" s="324"/>
      <c r="H145" s="186">
        <v>250</v>
      </c>
      <c r="I145" s="183"/>
    </row>
    <row r="146" spans="2:9" ht="15" customHeight="1" x14ac:dyDescent="0.25">
      <c r="B146" s="179"/>
      <c r="C146" s="325" t="s">
        <v>146</v>
      </c>
      <c r="D146" s="326"/>
      <c r="E146" s="194" t="s">
        <v>146</v>
      </c>
      <c r="F146" s="339" t="s">
        <v>147</v>
      </c>
      <c r="G146" s="339"/>
      <c r="H146" s="185">
        <v>30</v>
      </c>
      <c r="I146" s="183"/>
    </row>
    <row r="147" spans="2:9" ht="15" customHeight="1" x14ac:dyDescent="0.25">
      <c r="B147" s="179"/>
      <c r="C147" s="327"/>
      <c r="D147" s="328"/>
      <c r="E147" s="194" t="s">
        <v>146</v>
      </c>
      <c r="F147" s="324" t="s">
        <v>148</v>
      </c>
      <c r="G147" s="324"/>
      <c r="H147" s="186">
        <v>30</v>
      </c>
      <c r="I147" s="183"/>
    </row>
    <row r="148" spans="2:9" ht="15" customHeight="1" x14ac:dyDescent="0.25">
      <c r="B148" s="179"/>
      <c r="C148" s="327"/>
      <c r="D148" s="328"/>
      <c r="E148" s="194" t="s">
        <v>146</v>
      </c>
      <c r="F148" s="324" t="s">
        <v>149</v>
      </c>
      <c r="G148" s="324"/>
      <c r="H148" s="186">
        <v>100</v>
      </c>
      <c r="I148" s="183"/>
    </row>
    <row r="149" spans="2:9" ht="15" customHeight="1" x14ac:dyDescent="0.25">
      <c r="B149" s="179"/>
      <c r="C149" s="327"/>
      <c r="D149" s="328"/>
      <c r="E149" s="194" t="s">
        <v>146</v>
      </c>
      <c r="F149" s="324" t="s">
        <v>150</v>
      </c>
      <c r="G149" s="324"/>
      <c r="H149" s="186">
        <v>100</v>
      </c>
      <c r="I149" s="183"/>
    </row>
    <row r="150" spans="2:9" ht="15" customHeight="1" x14ac:dyDescent="0.25">
      <c r="B150" s="179"/>
      <c r="C150" s="327"/>
      <c r="D150" s="328"/>
      <c r="E150" s="194" t="s">
        <v>146</v>
      </c>
      <c r="F150" s="324" t="s">
        <v>151</v>
      </c>
      <c r="G150" s="324"/>
      <c r="H150" s="186">
        <v>40</v>
      </c>
      <c r="I150" s="183"/>
    </row>
    <row r="151" spans="2:9" ht="15" customHeight="1" x14ac:dyDescent="0.25">
      <c r="B151" s="179"/>
      <c r="C151" s="327"/>
      <c r="D151" s="328"/>
      <c r="E151" s="194" t="s">
        <v>146</v>
      </c>
      <c r="F151" s="324" t="s">
        <v>152</v>
      </c>
      <c r="G151" s="324"/>
      <c r="H151" s="186">
        <v>430</v>
      </c>
      <c r="I151" s="183"/>
    </row>
    <row r="152" spans="2:9" ht="15" customHeight="1" x14ac:dyDescent="0.25">
      <c r="B152" s="179"/>
      <c r="C152" s="327"/>
      <c r="D152" s="328"/>
      <c r="E152" s="194" t="s">
        <v>146</v>
      </c>
      <c r="F152" s="324" t="s">
        <v>153</v>
      </c>
      <c r="G152" s="324"/>
      <c r="H152" s="186">
        <v>130</v>
      </c>
      <c r="I152" s="183"/>
    </row>
    <row r="153" spans="2:9" ht="15" customHeight="1" x14ac:dyDescent="0.25">
      <c r="B153" s="179"/>
      <c r="C153" s="327"/>
      <c r="D153" s="328"/>
      <c r="E153" s="194" t="s">
        <v>146</v>
      </c>
      <c r="F153" s="324" t="s">
        <v>154</v>
      </c>
      <c r="G153" s="324"/>
      <c r="H153" s="186">
        <v>300</v>
      </c>
      <c r="I153" s="183"/>
    </row>
    <row r="154" spans="2:9" ht="15" customHeight="1" x14ac:dyDescent="0.25">
      <c r="B154" s="179"/>
      <c r="C154" s="327"/>
      <c r="D154" s="328"/>
      <c r="E154" s="194" t="s">
        <v>146</v>
      </c>
      <c r="F154" s="324" t="s">
        <v>155</v>
      </c>
      <c r="G154" s="324"/>
      <c r="H154" s="186">
        <v>130</v>
      </c>
      <c r="I154" s="183"/>
    </row>
    <row r="155" spans="2:9" ht="15" customHeight="1" x14ac:dyDescent="0.25">
      <c r="B155" s="179"/>
      <c r="C155" s="327"/>
      <c r="D155" s="328"/>
      <c r="E155" s="194" t="s">
        <v>146</v>
      </c>
      <c r="F155" s="324" t="s">
        <v>156</v>
      </c>
      <c r="G155" s="324"/>
      <c r="H155" s="186">
        <v>400</v>
      </c>
      <c r="I155" s="183"/>
    </row>
    <row r="156" spans="2:9" ht="15" customHeight="1" x14ac:dyDescent="0.25">
      <c r="B156" s="179"/>
      <c r="C156" s="327"/>
      <c r="D156" s="328"/>
      <c r="E156" s="194" t="s">
        <v>146</v>
      </c>
      <c r="F156" s="324" t="s">
        <v>157</v>
      </c>
      <c r="G156" s="324"/>
      <c r="H156" s="186">
        <v>130</v>
      </c>
      <c r="I156" s="183"/>
    </row>
    <row r="157" spans="2:9" ht="15" customHeight="1" x14ac:dyDescent="0.25">
      <c r="B157" s="179"/>
      <c r="C157" s="327"/>
      <c r="D157" s="328"/>
      <c r="E157" s="194" t="s">
        <v>146</v>
      </c>
      <c r="F157" s="324" t="s">
        <v>158</v>
      </c>
      <c r="G157" s="324"/>
      <c r="H157" s="186">
        <v>700</v>
      </c>
      <c r="I157" s="183"/>
    </row>
    <row r="158" spans="2:9" ht="15" customHeight="1" x14ac:dyDescent="0.25">
      <c r="B158" s="179"/>
      <c r="C158" s="327"/>
      <c r="D158" s="328"/>
      <c r="E158" s="194" t="s">
        <v>146</v>
      </c>
      <c r="F158" s="324" t="s">
        <v>159</v>
      </c>
      <c r="G158" s="324"/>
      <c r="H158" s="186">
        <v>30</v>
      </c>
      <c r="I158" s="183"/>
    </row>
    <row r="159" spans="2:9" ht="15" customHeight="1" x14ac:dyDescent="0.25">
      <c r="B159" s="179"/>
      <c r="C159" s="327"/>
      <c r="D159" s="328"/>
      <c r="E159" s="194" t="s">
        <v>146</v>
      </c>
      <c r="F159" s="324" t="s">
        <v>160</v>
      </c>
      <c r="G159" s="324"/>
      <c r="H159" s="186">
        <v>350</v>
      </c>
      <c r="I159" s="183"/>
    </row>
    <row r="160" spans="2:9" ht="15" customHeight="1" x14ac:dyDescent="0.25">
      <c r="B160" s="179"/>
      <c r="C160" s="327"/>
      <c r="D160" s="328"/>
      <c r="E160" s="194" t="s">
        <v>146</v>
      </c>
      <c r="F160" s="324" t="s">
        <v>161</v>
      </c>
      <c r="G160" s="324"/>
      <c r="H160" s="186">
        <v>30</v>
      </c>
      <c r="I160" s="183"/>
    </row>
    <row r="161" spans="2:9" ht="15" customHeight="1" x14ac:dyDescent="0.25">
      <c r="B161" s="179"/>
      <c r="C161" s="327"/>
      <c r="D161" s="328"/>
      <c r="E161" s="194" t="s">
        <v>146</v>
      </c>
      <c r="F161" s="324" t="s">
        <v>162</v>
      </c>
      <c r="G161" s="324"/>
      <c r="H161" s="186">
        <v>750</v>
      </c>
      <c r="I161" s="183"/>
    </row>
    <row r="162" spans="2:9" ht="15" customHeight="1" x14ac:dyDescent="0.25">
      <c r="B162" s="179"/>
      <c r="C162" s="327"/>
      <c r="D162" s="328"/>
      <c r="E162" s="194" t="s">
        <v>146</v>
      </c>
      <c r="F162" s="324" t="s">
        <v>163</v>
      </c>
      <c r="G162" s="324"/>
      <c r="H162" s="186">
        <v>140</v>
      </c>
      <c r="I162" s="183"/>
    </row>
    <row r="163" spans="2:9" ht="15" customHeight="1" x14ac:dyDescent="0.25">
      <c r="B163" s="179"/>
      <c r="C163" s="327"/>
      <c r="D163" s="328"/>
      <c r="E163" s="194" t="s">
        <v>146</v>
      </c>
      <c r="F163" s="324" t="s">
        <v>164</v>
      </c>
      <c r="G163" s="324"/>
      <c r="H163" s="186">
        <v>500</v>
      </c>
      <c r="I163" s="183"/>
    </row>
    <row r="164" spans="2:9" ht="15" customHeight="1" x14ac:dyDescent="0.25">
      <c r="B164" s="179"/>
      <c r="C164" s="327"/>
      <c r="D164" s="328"/>
      <c r="E164" s="194" t="s">
        <v>146</v>
      </c>
      <c r="F164" s="324" t="s">
        <v>165</v>
      </c>
      <c r="G164" s="324"/>
      <c r="H164" s="186">
        <v>140</v>
      </c>
      <c r="I164" s="183"/>
    </row>
    <row r="165" spans="2:9" ht="15" customHeight="1" x14ac:dyDescent="0.25">
      <c r="B165" s="179"/>
      <c r="C165" s="327"/>
      <c r="D165" s="328"/>
      <c r="E165" s="194" t="s">
        <v>146</v>
      </c>
      <c r="F165" s="324" t="s">
        <v>166</v>
      </c>
      <c r="G165" s="324"/>
      <c r="H165" s="186">
        <v>500</v>
      </c>
      <c r="I165" s="183"/>
    </row>
    <row r="166" spans="2:9" ht="15" customHeight="1" x14ac:dyDescent="0.25">
      <c r="B166" s="179"/>
      <c r="C166" s="327"/>
      <c r="D166" s="328"/>
      <c r="E166" s="194" t="s">
        <v>146</v>
      </c>
      <c r="F166" s="324" t="s">
        <v>167</v>
      </c>
      <c r="G166" s="324"/>
      <c r="H166" s="186">
        <v>100</v>
      </c>
      <c r="I166" s="183"/>
    </row>
    <row r="167" spans="2:9" ht="15" customHeight="1" x14ac:dyDescent="0.25">
      <c r="B167" s="179"/>
      <c r="C167" s="327"/>
      <c r="D167" s="328"/>
      <c r="E167" s="194" t="s">
        <v>146</v>
      </c>
      <c r="F167" s="324" t="s">
        <v>168</v>
      </c>
      <c r="G167" s="324"/>
      <c r="H167" s="186">
        <v>100</v>
      </c>
      <c r="I167" s="183"/>
    </row>
    <row r="168" spans="2:9" ht="15" customHeight="1" x14ac:dyDescent="0.25">
      <c r="B168" s="179"/>
      <c r="C168" s="327"/>
      <c r="D168" s="328"/>
      <c r="E168" s="194" t="s">
        <v>146</v>
      </c>
      <c r="F168" s="324" t="s">
        <v>169</v>
      </c>
      <c r="G168" s="324"/>
      <c r="H168" s="186">
        <v>200</v>
      </c>
      <c r="I168" s="183"/>
    </row>
    <row r="169" spans="2:9" ht="15" customHeight="1" x14ac:dyDescent="0.25">
      <c r="B169" s="179"/>
      <c r="C169" s="329"/>
      <c r="D169" s="330"/>
      <c r="E169" s="194" t="s">
        <v>146</v>
      </c>
      <c r="F169" s="338" t="s">
        <v>170</v>
      </c>
      <c r="G169" s="338"/>
      <c r="H169" s="205">
        <v>200</v>
      </c>
      <c r="I169" s="183"/>
    </row>
    <row r="170" spans="2:9" ht="15" customHeight="1" x14ac:dyDescent="0.25">
      <c r="B170" s="179"/>
      <c r="C170" s="325" t="s">
        <v>171</v>
      </c>
      <c r="D170" s="326"/>
      <c r="E170" s="194" t="s">
        <v>171</v>
      </c>
      <c r="F170" s="339" t="s">
        <v>172</v>
      </c>
      <c r="G170" s="339"/>
      <c r="H170" s="185">
        <v>50</v>
      </c>
      <c r="I170" s="183"/>
    </row>
    <row r="171" spans="2:9" ht="15" customHeight="1" x14ac:dyDescent="0.25">
      <c r="B171" s="179"/>
      <c r="C171" s="327"/>
      <c r="D171" s="328"/>
      <c r="E171" s="194" t="s">
        <v>171</v>
      </c>
      <c r="F171" s="324" t="s">
        <v>49</v>
      </c>
      <c r="G171" s="324"/>
      <c r="H171" s="186">
        <v>100</v>
      </c>
      <c r="I171" s="183"/>
    </row>
    <row r="172" spans="2:9" ht="15" customHeight="1" x14ac:dyDescent="0.25">
      <c r="B172" s="179"/>
      <c r="C172" s="327"/>
      <c r="D172" s="328"/>
      <c r="E172" s="194" t="s">
        <v>171</v>
      </c>
      <c r="F172" s="324" t="s">
        <v>173</v>
      </c>
      <c r="G172" s="324"/>
      <c r="H172" s="186">
        <v>150</v>
      </c>
      <c r="I172" s="183"/>
    </row>
    <row r="173" spans="2:9" ht="15" customHeight="1" x14ac:dyDescent="0.25">
      <c r="B173" s="179"/>
      <c r="C173" s="327"/>
      <c r="D173" s="328"/>
      <c r="E173" s="194" t="s">
        <v>171</v>
      </c>
      <c r="F173" s="324" t="s">
        <v>174</v>
      </c>
      <c r="G173" s="324"/>
      <c r="H173" s="186">
        <v>400</v>
      </c>
      <c r="I173" s="183"/>
    </row>
    <row r="174" spans="2:9" ht="15" customHeight="1" x14ac:dyDescent="0.25">
      <c r="B174" s="179"/>
      <c r="C174" s="327"/>
      <c r="D174" s="328"/>
      <c r="E174" s="194" t="s">
        <v>171</v>
      </c>
      <c r="F174" s="324" t="s">
        <v>175</v>
      </c>
      <c r="G174" s="324"/>
      <c r="H174" s="186">
        <v>400</v>
      </c>
      <c r="I174" s="183"/>
    </row>
    <row r="175" spans="2:9" ht="15" customHeight="1" x14ac:dyDescent="0.25">
      <c r="B175" s="179"/>
      <c r="C175" s="327"/>
      <c r="D175" s="328"/>
      <c r="E175" s="194" t="s">
        <v>171</v>
      </c>
      <c r="F175" s="324" t="s">
        <v>176</v>
      </c>
      <c r="G175" s="324"/>
      <c r="H175" s="186">
        <v>50</v>
      </c>
      <c r="I175" s="183"/>
    </row>
    <row r="176" spans="2:9" ht="15" customHeight="1" x14ac:dyDescent="0.25">
      <c r="B176" s="179"/>
      <c r="C176" s="327"/>
      <c r="D176" s="328"/>
      <c r="E176" s="194" t="s">
        <v>171</v>
      </c>
      <c r="F176" s="324" t="s">
        <v>177</v>
      </c>
      <c r="G176" s="324"/>
      <c r="H176" s="186">
        <v>350</v>
      </c>
      <c r="I176" s="183"/>
    </row>
    <row r="177" spans="2:9" ht="15" customHeight="1" x14ac:dyDescent="0.25">
      <c r="B177" s="179"/>
      <c r="C177" s="327"/>
      <c r="D177" s="328"/>
      <c r="E177" s="194" t="s">
        <v>171</v>
      </c>
      <c r="F177" s="324" t="s">
        <v>18</v>
      </c>
      <c r="G177" s="324"/>
      <c r="H177" s="186">
        <v>350</v>
      </c>
      <c r="I177" s="183"/>
    </row>
    <row r="178" spans="2:9" ht="15" customHeight="1" x14ac:dyDescent="0.25">
      <c r="B178" s="179"/>
      <c r="C178" s="327"/>
      <c r="D178" s="328"/>
      <c r="E178" s="194" t="s">
        <v>171</v>
      </c>
      <c r="F178" s="324" t="s">
        <v>178</v>
      </c>
      <c r="G178" s="324"/>
      <c r="H178" s="186">
        <v>350</v>
      </c>
      <c r="I178" s="183"/>
    </row>
    <row r="179" spans="2:9" ht="15" customHeight="1" x14ac:dyDescent="0.25">
      <c r="B179" s="179"/>
      <c r="C179" s="327"/>
      <c r="D179" s="328"/>
      <c r="E179" s="194" t="s">
        <v>171</v>
      </c>
      <c r="F179" s="324" t="s">
        <v>179</v>
      </c>
      <c r="G179" s="324"/>
      <c r="H179" s="186">
        <v>100</v>
      </c>
      <c r="I179" s="183"/>
    </row>
    <row r="180" spans="2:9" ht="15" customHeight="1" x14ac:dyDescent="0.25">
      <c r="B180" s="179"/>
      <c r="C180" s="327"/>
      <c r="D180" s="328"/>
      <c r="E180" s="194" t="s">
        <v>171</v>
      </c>
      <c r="F180" s="324" t="s">
        <v>180</v>
      </c>
      <c r="G180" s="324"/>
      <c r="H180" s="186">
        <v>50</v>
      </c>
      <c r="I180" s="183"/>
    </row>
    <row r="181" spans="2:9" ht="15" customHeight="1" x14ac:dyDescent="0.25">
      <c r="B181" s="179"/>
      <c r="C181" s="327"/>
      <c r="D181" s="328"/>
      <c r="E181" s="194" t="s">
        <v>171</v>
      </c>
      <c r="F181" s="324" t="s">
        <v>27</v>
      </c>
      <c r="G181" s="324"/>
      <c r="H181" s="186">
        <v>150</v>
      </c>
      <c r="I181" s="183"/>
    </row>
    <row r="182" spans="2:9" ht="15" customHeight="1" x14ac:dyDescent="0.25">
      <c r="B182" s="179"/>
      <c r="C182" s="327"/>
      <c r="D182" s="328"/>
      <c r="E182" s="194" t="s">
        <v>171</v>
      </c>
      <c r="F182" s="324" t="s">
        <v>181</v>
      </c>
      <c r="G182" s="324"/>
      <c r="H182" s="186">
        <v>350</v>
      </c>
      <c r="I182" s="183"/>
    </row>
    <row r="183" spans="2:9" ht="15" customHeight="1" x14ac:dyDescent="0.25">
      <c r="B183" s="179"/>
      <c r="C183" s="327"/>
      <c r="D183" s="328"/>
      <c r="E183" s="194" t="s">
        <v>171</v>
      </c>
      <c r="F183" s="324" t="s">
        <v>182</v>
      </c>
      <c r="G183" s="324"/>
      <c r="H183" s="186">
        <v>350</v>
      </c>
      <c r="I183" s="183"/>
    </row>
    <row r="184" spans="2:9" ht="15" customHeight="1" x14ac:dyDescent="0.25">
      <c r="B184" s="179"/>
      <c r="C184" s="327"/>
      <c r="D184" s="328"/>
      <c r="E184" s="194" t="s">
        <v>171</v>
      </c>
      <c r="F184" s="324" t="s">
        <v>37</v>
      </c>
      <c r="G184" s="324"/>
      <c r="H184" s="186">
        <v>100</v>
      </c>
      <c r="I184" s="183"/>
    </row>
    <row r="185" spans="2:9" ht="15" customHeight="1" x14ac:dyDescent="0.25">
      <c r="B185" s="179"/>
      <c r="C185" s="327"/>
      <c r="D185" s="328"/>
      <c r="E185" s="194" t="s">
        <v>171</v>
      </c>
      <c r="F185" s="324" t="s">
        <v>183</v>
      </c>
      <c r="G185" s="324"/>
      <c r="H185" s="186">
        <v>250</v>
      </c>
      <c r="I185" s="183"/>
    </row>
    <row r="186" spans="2:9" ht="15" customHeight="1" x14ac:dyDescent="0.25">
      <c r="B186" s="179"/>
      <c r="C186" s="327"/>
      <c r="D186" s="328"/>
      <c r="E186" s="194" t="s">
        <v>171</v>
      </c>
      <c r="F186" s="324" t="s">
        <v>184</v>
      </c>
      <c r="G186" s="324"/>
      <c r="H186" s="186">
        <v>500</v>
      </c>
      <c r="I186" s="183"/>
    </row>
    <row r="187" spans="2:9" ht="15" customHeight="1" x14ac:dyDescent="0.25">
      <c r="B187" s="179"/>
      <c r="C187" s="327"/>
      <c r="D187" s="328"/>
      <c r="E187" s="194" t="s">
        <v>171</v>
      </c>
      <c r="F187" s="324" t="s">
        <v>185</v>
      </c>
      <c r="G187" s="324"/>
      <c r="H187" s="186">
        <v>420</v>
      </c>
      <c r="I187" s="183"/>
    </row>
    <row r="188" spans="2:9" ht="15" customHeight="1" x14ac:dyDescent="0.25">
      <c r="B188" s="179"/>
      <c r="C188" s="327"/>
      <c r="D188" s="328"/>
      <c r="E188" s="194" t="s">
        <v>171</v>
      </c>
      <c r="F188" s="324" t="s">
        <v>40</v>
      </c>
      <c r="G188" s="324"/>
      <c r="H188" s="186">
        <v>250</v>
      </c>
      <c r="I188" s="183"/>
    </row>
    <row r="189" spans="2:9" ht="15" customHeight="1" x14ac:dyDescent="0.25">
      <c r="B189" s="179"/>
      <c r="C189" s="327"/>
      <c r="D189" s="328"/>
      <c r="E189" s="194" t="s">
        <v>171</v>
      </c>
      <c r="F189" s="324" t="s">
        <v>77</v>
      </c>
      <c r="G189" s="324"/>
      <c r="H189" s="186">
        <v>120</v>
      </c>
      <c r="I189" s="183"/>
    </row>
    <row r="190" spans="2:9" ht="15" customHeight="1" x14ac:dyDescent="0.25">
      <c r="B190" s="179"/>
      <c r="C190" s="327"/>
      <c r="D190" s="328"/>
      <c r="E190" s="194" t="s">
        <v>171</v>
      </c>
      <c r="F190" s="324" t="s">
        <v>45</v>
      </c>
      <c r="G190" s="324"/>
      <c r="H190" s="186">
        <v>450</v>
      </c>
      <c r="I190" s="183"/>
    </row>
    <row r="191" spans="2:9" ht="15" customHeight="1" x14ac:dyDescent="0.25">
      <c r="B191" s="179"/>
      <c r="C191" s="327"/>
      <c r="D191" s="328"/>
      <c r="E191" s="194" t="s">
        <v>171</v>
      </c>
      <c r="F191" s="324" t="s">
        <v>186</v>
      </c>
      <c r="G191" s="324"/>
      <c r="H191" s="186">
        <v>100</v>
      </c>
      <c r="I191" s="183"/>
    </row>
    <row r="192" spans="2:9" ht="15" customHeight="1" x14ac:dyDescent="0.25">
      <c r="B192" s="179"/>
      <c r="C192" s="327"/>
      <c r="D192" s="328"/>
      <c r="E192" s="194" t="s">
        <v>171</v>
      </c>
      <c r="F192" s="324" t="s">
        <v>47</v>
      </c>
      <c r="G192" s="324"/>
      <c r="H192" s="186">
        <v>500</v>
      </c>
      <c r="I192" s="183"/>
    </row>
    <row r="193" spans="2:9" ht="15" customHeight="1" x14ac:dyDescent="0.25">
      <c r="B193" s="179"/>
      <c r="C193" s="327"/>
      <c r="D193" s="328"/>
      <c r="E193" s="194" t="s">
        <v>171</v>
      </c>
      <c r="F193" s="324" t="s">
        <v>187</v>
      </c>
      <c r="G193" s="324"/>
      <c r="H193" s="186">
        <v>250</v>
      </c>
      <c r="I193" s="183"/>
    </row>
    <row r="194" spans="2:9" ht="15" customHeight="1" x14ac:dyDescent="0.25">
      <c r="B194" s="179"/>
      <c r="C194" s="327"/>
      <c r="D194" s="328"/>
      <c r="E194" s="194" t="s">
        <v>171</v>
      </c>
      <c r="F194" s="324" t="s">
        <v>50</v>
      </c>
      <c r="G194" s="324"/>
      <c r="H194" s="186">
        <v>420</v>
      </c>
      <c r="I194" s="183"/>
    </row>
    <row r="195" spans="2:9" ht="15" customHeight="1" x14ac:dyDescent="0.25">
      <c r="B195" s="179"/>
      <c r="C195" s="327"/>
      <c r="D195" s="328"/>
      <c r="E195" s="194" t="s">
        <v>171</v>
      </c>
      <c r="F195" s="324" t="s">
        <v>51</v>
      </c>
      <c r="G195" s="324"/>
      <c r="H195" s="186">
        <v>100</v>
      </c>
      <c r="I195" s="183"/>
    </row>
    <row r="196" spans="2:9" ht="15" customHeight="1" x14ac:dyDescent="0.25">
      <c r="B196" s="179"/>
      <c r="C196" s="327"/>
      <c r="D196" s="328"/>
      <c r="E196" s="194" t="s">
        <v>171</v>
      </c>
      <c r="F196" s="324" t="s">
        <v>52</v>
      </c>
      <c r="G196" s="324"/>
      <c r="H196" s="186">
        <v>350</v>
      </c>
      <c r="I196" s="183"/>
    </row>
    <row r="197" spans="2:9" ht="15" customHeight="1" x14ac:dyDescent="0.25">
      <c r="B197" s="179"/>
      <c r="C197" s="327"/>
      <c r="D197" s="328"/>
      <c r="E197" s="194" t="s">
        <v>171</v>
      </c>
      <c r="F197" s="324" t="s">
        <v>53</v>
      </c>
      <c r="G197" s="324"/>
      <c r="H197" s="186">
        <v>250</v>
      </c>
      <c r="I197" s="183"/>
    </row>
    <row r="198" spans="2:9" ht="15" customHeight="1" x14ac:dyDescent="0.25">
      <c r="B198" s="179"/>
      <c r="C198" s="327"/>
      <c r="D198" s="328"/>
      <c r="E198" s="194" t="s">
        <v>171</v>
      </c>
      <c r="F198" s="324" t="s">
        <v>54</v>
      </c>
      <c r="G198" s="324"/>
      <c r="H198" s="186">
        <v>50</v>
      </c>
      <c r="I198" s="183"/>
    </row>
    <row r="199" spans="2:9" ht="15" customHeight="1" x14ac:dyDescent="0.25">
      <c r="B199" s="179"/>
      <c r="C199" s="327"/>
      <c r="D199" s="328"/>
      <c r="E199" s="194" t="s">
        <v>171</v>
      </c>
      <c r="F199" s="324" t="s">
        <v>57</v>
      </c>
      <c r="G199" s="324"/>
      <c r="H199" s="186">
        <v>250</v>
      </c>
      <c r="I199" s="183"/>
    </row>
    <row r="200" spans="2:9" ht="15" customHeight="1" x14ac:dyDescent="0.25">
      <c r="B200" s="179"/>
      <c r="C200" s="327"/>
      <c r="D200" s="328"/>
      <c r="E200" s="194" t="s">
        <v>171</v>
      </c>
      <c r="F200" s="324" t="s">
        <v>59</v>
      </c>
      <c r="G200" s="324"/>
      <c r="H200" s="186">
        <v>730</v>
      </c>
      <c r="I200" s="183"/>
    </row>
    <row r="201" spans="2:9" ht="15" customHeight="1" x14ac:dyDescent="0.25">
      <c r="B201" s="179"/>
      <c r="C201" s="327"/>
      <c r="D201" s="328"/>
      <c r="E201" s="194" t="s">
        <v>171</v>
      </c>
      <c r="F201" s="324" t="s">
        <v>188</v>
      </c>
      <c r="G201" s="324"/>
      <c r="H201" s="186">
        <v>550</v>
      </c>
      <c r="I201" s="183"/>
    </row>
    <row r="202" spans="2:9" ht="15" customHeight="1" x14ac:dyDescent="0.25">
      <c r="B202" s="179"/>
      <c r="C202" s="327"/>
      <c r="D202" s="328"/>
      <c r="E202" s="194" t="s">
        <v>171</v>
      </c>
      <c r="F202" s="324" t="s">
        <v>189</v>
      </c>
      <c r="G202" s="324"/>
      <c r="H202" s="186">
        <v>100</v>
      </c>
      <c r="I202" s="183"/>
    </row>
    <row r="203" spans="2:9" ht="15" customHeight="1" x14ac:dyDescent="0.25">
      <c r="B203" s="179"/>
      <c r="C203" s="327"/>
      <c r="D203" s="328"/>
      <c r="E203" s="194" t="s">
        <v>171</v>
      </c>
      <c r="F203" s="324" t="s">
        <v>62</v>
      </c>
      <c r="G203" s="324"/>
      <c r="H203" s="186">
        <v>250</v>
      </c>
      <c r="I203" s="183"/>
    </row>
    <row r="204" spans="2:9" ht="15" customHeight="1" x14ac:dyDescent="0.25">
      <c r="B204" s="179"/>
      <c r="C204" s="327"/>
      <c r="D204" s="328"/>
      <c r="E204" s="194" t="s">
        <v>171</v>
      </c>
      <c r="F204" s="324" t="s">
        <v>64</v>
      </c>
      <c r="G204" s="324"/>
      <c r="H204" s="186">
        <v>450</v>
      </c>
      <c r="I204" s="183"/>
    </row>
    <row r="205" spans="2:9" ht="15" customHeight="1" x14ac:dyDescent="0.25">
      <c r="B205" s="179"/>
      <c r="C205" s="327"/>
      <c r="D205" s="328"/>
      <c r="E205" s="194" t="s">
        <v>171</v>
      </c>
      <c r="F205" s="324" t="s">
        <v>190</v>
      </c>
      <c r="G205" s="324"/>
      <c r="H205" s="186">
        <v>340</v>
      </c>
      <c r="I205" s="183"/>
    </row>
    <row r="206" spans="2:9" ht="15" customHeight="1" x14ac:dyDescent="0.25">
      <c r="B206" s="179"/>
      <c r="C206" s="327"/>
      <c r="D206" s="328"/>
      <c r="E206" s="194" t="s">
        <v>171</v>
      </c>
      <c r="F206" s="324" t="s">
        <v>191</v>
      </c>
      <c r="G206" s="324"/>
      <c r="H206" s="186">
        <v>100</v>
      </c>
      <c r="I206" s="183"/>
    </row>
    <row r="207" spans="2:9" ht="15" customHeight="1" x14ac:dyDescent="0.25">
      <c r="B207" s="179"/>
      <c r="C207" s="327"/>
      <c r="D207" s="328"/>
      <c r="E207" s="194" t="s">
        <v>171</v>
      </c>
      <c r="F207" s="324" t="s">
        <v>69</v>
      </c>
      <c r="G207" s="324"/>
      <c r="H207" s="186">
        <v>420</v>
      </c>
      <c r="I207" s="183"/>
    </row>
    <row r="208" spans="2:9" ht="15" customHeight="1" x14ac:dyDescent="0.25">
      <c r="B208" s="179"/>
      <c r="C208" s="327"/>
      <c r="D208" s="328"/>
      <c r="E208" s="194" t="s">
        <v>171</v>
      </c>
      <c r="F208" s="324" t="s">
        <v>192</v>
      </c>
      <c r="G208" s="324"/>
      <c r="H208" s="186">
        <v>250</v>
      </c>
      <c r="I208" s="183"/>
    </row>
    <row r="209" spans="2:9" ht="15" customHeight="1" x14ac:dyDescent="0.25">
      <c r="B209" s="179"/>
      <c r="C209" s="327"/>
      <c r="D209" s="328"/>
      <c r="E209" s="194" t="s">
        <v>171</v>
      </c>
      <c r="F209" s="324" t="s">
        <v>193</v>
      </c>
      <c r="G209" s="324"/>
      <c r="H209" s="186">
        <v>275</v>
      </c>
      <c r="I209" s="183"/>
    </row>
    <row r="210" spans="2:9" ht="15" customHeight="1" x14ac:dyDescent="0.25">
      <c r="B210" s="179"/>
      <c r="C210" s="327"/>
      <c r="D210" s="328"/>
      <c r="E210" s="194" t="s">
        <v>171</v>
      </c>
      <c r="F210" s="324" t="s">
        <v>76</v>
      </c>
      <c r="G210" s="324"/>
      <c r="H210" s="186">
        <v>350</v>
      </c>
      <c r="I210" s="183"/>
    </row>
    <row r="211" spans="2:9" ht="15" customHeight="1" x14ac:dyDescent="0.25">
      <c r="B211" s="179"/>
      <c r="C211" s="329"/>
      <c r="D211" s="330"/>
      <c r="E211" s="194" t="s">
        <v>171</v>
      </c>
      <c r="F211" s="338" t="s">
        <v>194</v>
      </c>
      <c r="G211" s="338"/>
      <c r="H211" s="205">
        <v>340</v>
      </c>
      <c r="I211" s="183"/>
    </row>
    <row r="212" spans="2:9" ht="15" customHeight="1" x14ac:dyDescent="0.25">
      <c r="B212" s="179"/>
      <c r="C212" s="325" t="s">
        <v>195</v>
      </c>
      <c r="D212" s="326"/>
      <c r="E212" s="194" t="s">
        <v>195</v>
      </c>
      <c r="F212" s="339" t="s">
        <v>196</v>
      </c>
      <c r="G212" s="339"/>
      <c r="H212" s="185">
        <v>250</v>
      </c>
      <c r="I212" s="183"/>
    </row>
    <row r="213" spans="2:9" ht="15" customHeight="1" x14ac:dyDescent="0.25">
      <c r="B213" s="179"/>
      <c r="C213" s="327"/>
      <c r="D213" s="328"/>
      <c r="E213" s="194" t="s">
        <v>195</v>
      </c>
      <c r="F213" s="324" t="s">
        <v>197</v>
      </c>
      <c r="G213" s="324"/>
      <c r="H213" s="186">
        <v>350</v>
      </c>
      <c r="I213" s="183"/>
    </row>
    <row r="214" spans="2:9" ht="15" customHeight="1" x14ac:dyDescent="0.25">
      <c r="B214" s="179"/>
      <c r="C214" s="327"/>
      <c r="D214" s="328"/>
      <c r="E214" s="194" t="s">
        <v>195</v>
      </c>
      <c r="F214" s="324" t="s">
        <v>18</v>
      </c>
      <c r="G214" s="324"/>
      <c r="H214" s="186">
        <v>350</v>
      </c>
      <c r="I214" s="183"/>
    </row>
    <row r="215" spans="2:9" ht="15" customHeight="1" x14ac:dyDescent="0.25">
      <c r="B215" s="179"/>
      <c r="C215" s="327"/>
      <c r="D215" s="328"/>
      <c r="E215" s="194" t="s">
        <v>195</v>
      </c>
      <c r="F215" s="324" t="s">
        <v>198</v>
      </c>
      <c r="G215" s="324"/>
      <c r="H215" s="186">
        <v>650</v>
      </c>
      <c r="I215" s="183"/>
    </row>
    <row r="216" spans="2:9" ht="15" customHeight="1" x14ac:dyDescent="0.25">
      <c r="B216" s="179"/>
      <c r="C216" s="327"/>
      <c r="D216" s="328"/>
      <c r="E216" s="194" t="s">
        <v>195</v>
      </c>
      <c r="F216" s="324" t="s">
        <v>199</v>
      </c>
      <c r="G216" s="324"/>
      <c r="H216" s="186">
        <v>150</v>
      </c>
      <c r="I216" s="183"/>
    </row>
    <row r="217" spans="2:9" ht="15" customHeight="1" x14ac:dyDescent="0.25">
      <c r="B217" s="179"/>
      <c r="C217" s="327"/>
      <c r="D217" s="328"/>
      <c r="E217" s="194" t="s">
        <v>195</v>
      </c>
      <c r="F217" s="324" t="s">
        <v>178</v>
      </c>
      <c r="G217" s="324"/>
      <c r="H217" s="186">
        <v>350</v>
      </c>
      <c r="I217" s="183"/>
    </row>
    <row r="218" spans="2:9" ht="15" customHeight="1" x14ac:dyDescent="0.25">
      <c r="B218" s="179"/>
      <c r="C218" s="327"/>
      <c r="D218" s="328"/>
      <c r="E218" s="194" t="s">
        <v>195</v>
      </c>
      <c r="F218" s="324" t="s">
        <v>27</v>
      </c>
      <c r="G218" s="324"/>
      <c r="H218" s="186">
        <v>400</v>
      </c>
      <c r="I218" s="183"/>
    </row>
    <row r="219" spans="2:9" ht="15" customHeight="1" x14ac:dyDescent="0.25">
      <c r="B219" s="179"/>
      <c r="C219" s="327"/>
      <c r="D219" s="328"/>
      <c r="E219" s="194" t="s">
        <v>195</v>
      </c>
      <c r="F219" s="324" t="s">
        <v>200</v>
      </c>
      <c r="G219" s="324"/>
      <c r="H219" s="186">
        <v>350</v>
      </c>
      <c r="I219" s="183"/>
    </row>
    <row r="220" spans="2:9" ht="15" customHeight="1" x14ac:dyDescent="0.25">
      <c r="B220" s="179"/>
      <c r="C220" s="327"/>
      <c r="D220" s="328"/>
      <c r="E220" s="194" t="s">
        <v>195</v>
      </c>
      <c r="F220" s="324" t="s">
        <v>39</v>
      </c>
      <c r="G220" s="324"/>
      <c r="H220" s="186">
        <v>500</v>
      </c>
      <c r="I220" s="183"/>
    </row>
    <row r="221" spans="2:9" ht="15" customHeight="1" x14ac:dyDescent="0.25">
      <c r="B221" s="179"/>
      <c r="C221" s="327"/>
      <c r="D221" s="328"/>
      <c r="E221" s="194" t="s">
        <v>195</v>
      </c>
      <c r="F221" s="324" t="s">
        <v>201</v>
      </c>
      <c r="G221" s="324"/>
      <c r="H221" s="186">
        <v>250</v>
      </c>
      <c r="I221" s="183"/>
    </row>
    <row r="222" spans="2:9" ht="15" customHeight="1" x14ac:dyDescent="0.25">
      <c r="B222" s="179"/>
      <c r="C222" s="327"/>
      <c r="D222" s="328"/>
      <c r="E222" s="194" t="s">
        <v>195</v>
      </c>
      <c r="F222" s="324" t="s">
        <v>45</v>
      </c>
      <c r="G222" s="324"/>
      <c r="H222" s="186">
        <v>450</v>
      </c>
      <c r="I222" s="183"/>
    </row>
    <row r="223" spans="2:9" ht="15" customHeight="1" x14ac:dyDescent="0.25">
      <c r="B223" s="179"/>
      <c r="C223" s="327"/>
      <c r="D223" s="328"/>
      <c r="E223" s="194" t="s">
        <v>195</v>
      </c>
      <c r="F223" s="324" t="s">
        <v>46</v>
      </c>
      <c r="G223" s="324"/>
      <c r="H223" s="186">
        <v>300</v>
      </c>
      <c r="I223" s="183"/>
    </row>
    <row r="224" spans="2:9" ht="15" customHeight="1" x14ac:dyDescent="0.25">
      <c r="B224" s="179"/>
      <c r="C224" s="327"/>
      <c r="D224" s="328"/>
      <c r="E224" s="194" t="s">
        <v>195</v>
      </c>
      <c r="F224" s="324" t="s">
        <v>202</v>
      </c>
      <c r="G224" s="324"/>
      <c r="H224" s="186">
        <v>275</v>
      </c>
      <c r="I224" s="183"/>
    </row>
    <row r="225" spans="2:9" ht="15" customHeight="1" x14ac:dyDescent="0.25">
      <c r="B225" s="179"/>
      <c r="C225" s="327"/>
      <c r="D225" s="328"/>
      <c r="E225" s="194" t="s">
        <v>195</v>
      </c>
      <c r="F225" s="324" t="s">
        <v>53</v>
      </c>
      <c r="G225" s="324"/>
      <c r="H225" s="186">
        <v>250</v>
      </c>
      <c r="I225" s="183"/>
    </row>
    <row r="226" spans="2:9" ht="15" customHeight="1" x14ac:dyDescent="0.25">
      <c r="B226" s="179"/>
      <c r="C226" s="327"/>
      <c r="D226" s="328"/>
      <c r="E226" s="194" t="s">
        <v>195</v>
      </c>
      <c r="F226" s="324" t="s">
        <v>203</v>
      </c>
      <c r="G226" s="324"/>
      <c r="H226" s="186">
        <v>50</v>
      </c>
      <c r="I226" s="183"/>
    </row>
    <row r="227" spans="2:9" ht="15" customHeight="1" x14ac:dyDescent="0.25">
      <c r="B227" s="179"/>
      <c r="C227" s="327"/>
      <c r="D227" s="328"/>
      <c r="E227" s="194" t="s">
        <v>195</v>
      </c>
      <c r="F227" s="324" t="s">
        <v>204</v>
      </c>
      <c r="G227" s="324"/>
      <c r="H227" s="186">
        <v>250</v>
      </c>
      <c r="I227" s="183"/>
    </row>
    <row r="228" spans="2:9" ht="15" customHeight="1" x14ac:dyDescent="0.25">
      <c r="B228" s="179"/>
      <c r="C228" s="327"/>
      <c r="D228" s="328"/>
      <c r="E228" s="194" t="s">
        <v>195</v>
      </c>
      <c r="F228" s="324" t="s">
        <v>205</v>
      </c>
      <c r="G228" s="324"/>
      <c r="H228" s="186">
        <v>730</v>
      </c>
      <c r="I228" s="183"/>
    </row>
    <row r="229" spans="2:9" ht="15" customHeight="1" x14ac:dyDescent="0.25">
      <c r="B229" s="179"/>
      <c r="C229" s="327"/>
      <c r="D229" s="328"/>
      <c r="E229" s="194" t="s">
        <v>195</v>
      </c>
      <c r="F229" s="324" t="s">
        <v>206</v>
      </c>
      <c r="G229" s="324"/>
      <c r="H229" s="186">
        <v>550</v>
      </c>
      <c r="I229" s="183"/>
    </row>
    <row r="230" spans="2:9" ht="15" customHeight="1" x14ac:dyDescent="0.25">
      <c r="B230" s="179"/>
      <c r="C230" s="327"/>
      <c r="D230" s="328"/>
      <c r="E230" s="194" t="s">
        <v>195</v>
      </c>
      <c r="F230" s="324" t="s">
        <v>61</v>
      </c>
      <c r="G230" s="324"/>
      <c r="H230" s="186">
        <v>350</v>
      </c>
      <c r="I230" s="183"/>
    </row>
    <row r="231" spans="2:9" ht="15" customHeight="1" x14ac:dyDescent="0.25">
      <c r="B231" s="179"/>
      <c r="C231" s="327"/>
      <c r="D231" s="328"/>
      <c r="E231" s="194" t="s">
        <v>195</v>
      </c>
      <c r="F231" s="324" t="s">
        <v>62</v>
      </c>
      <c r="G231" s="324"/>
      <c r="H231" s="186">
        <v>100</v>
      </c>
      <c r="I231" s="183"/>
    </row>
    <row r="232" spans="2:9" ht="15" customHeight="1" x14ac:dyDescent="0.25">
      <c r="B232" s="179"/>
      <c r="C232" s="327"/>
      <c r="D232" s="328"/>
      <c r="E232" s="194" t="s">
        <v>195</v>
      </c>
      <c r="F232" s="324" t="s">
        <v>207</v>
      </c>
      <c r="G232" s="324"/>
      <c r="H232" s="186">
        <v>340</v>
      </c>
      <c r="I232" s="183"/>
    </row>
    <row r="233" spans="2:9" ht="15" customHeight="1" x14ac:dyDescent="0.25">
      <c r="B233" s="179"/>
      <c r="C233" s="327"/>
      <c r="D233" s="328"/>
      <c r="E233" s="194" t="s">
        <v>195</v>
      </c>
      <c r="F233" s="324" t="s">
        <v>208</v>
      </c>
      <c r="G233" s="324"/>
      <c r="H233" s="186">
        <v>340</v>
      </c>
      <c r="I233" s="183"/>
    </row>
    <row r="234" spans="2:9" ht="15" customHeight="1" x14ac:dyDescent="0.25">
      <c r="B234" s="179"/>
      <c r="C234" s="327"/>
      <c r="D234" s="328"/>
      <c r="E234" s="194" t="s">
        <v>195</v>
      </c>
      <c r="F234" s="324" t="s">
        <v>209</v>
      </c>
      <c r="G234" s="324"/>
      <c r="H234" s="186">
        <v>400</v>
      </c>
      <c r="I234" s="183"/>
    </row>
    <row r="235" spans="2:9" ht="15" customHeight="1" x14ac:dyDescent="0.25">
      <c r="B235" s="179"/>
      <c r="C235" s="327"/>
      <c r="D235" s="328"/>
      <c r="E235" s="194" t="s">
        <v>195</v>
      </c>
      <c r="F235" s="324" t="s">
        <v>210</v>
      </c>
      <c r="G235" s="324"/>
      <c r="H235" s="186">
        <v>350</v>
      </c>
      <c r="I235" s="183"/>
    </row>
    <row r="236" spans="2:9" ht="15.75" customHeight="1" x14ac:dyDescent="0.25">
      <c r="B236" s="179"/>
      <c r="C236" s="327"/>
      <c r="D236" s="328"/>
      <c r="E236" s="194" t="s">
        <v>195</v>
      </c>
      <c r="F236" s="324" t="s">
        <v>211</v>
      </c>
      <c r="G236" s="324"/>
      <c r="H236" s="186">
        <v>650</v>
      </c>
      <c r="I236" s="183"/>
    </row>
    <row r="237" spans="2:9" ht="15" customHeight="1" x14ac:dyDescent="0.25">
      <c r="B237" s="179"/>
      <c r="C237" s="327"/>
      <c r="D237" s="328"/>
      <c r="E237" s="194" t="s">
        <v>195</v>
      </c>
      <c r="F237" s="324" t="s">
        <v>172</v>
      </c>
      <c r="G237" s="324"/>
      <c r="H237" s="186">
        <v>50</v>
      </c>
      <c r="I237" s="183"/>
    </row>
    <row r="238" spans="2:9" ht="15" customHeight="1" x14ac:dyDescent="0.25">
      <c r="B238" s="179"/>
      <c r="C238" s="327"/>
      <c r="D238" s="328"/>
      <c r="E238" s="194" t="s">
        <v>195</v>
      </c>
      <c r="F238" s="324" t="s">
        <v>212</v>
      </c>
      <c r="G238" s="324"/>
      <c r="H238" s="186">
        <v>100</v>
      </c>
      <c r="I238" s="183"/>
    </row>
    <row r="239" spans="2:9" ht="15" customHeight="1" x14ac:dyDescent="0.25">
      <c r="B239" s="179"/>
      <c r="C239" s="327"/>
      <c r="D239" s="328"/>
      <c r="E239" s="194" t="s">
        <v>195</v>
      </c>
      <c r="F239" s="324" t="s">
        <v>213</v>
      </c>
      <c r="G239" s="324"/>
      <c r="H239" s="186">
        <v>350</v>
      </c>
      <c r="I239" s="183"/>
    </row>
    <row r="240" spans="2:9" ht="15" customHeight="1" x14ac:dyDescent="0.25">
      <c r="B240" s="179"/>
      <c r="C240" s="327"/>
      <c r="D240" s="328"/>
      <c r="E240" s="194" t="s">
        <v>195</v>
      </c>
      <c r="F240" s="324" t="s">
        <v>214</v>
      </c>
      <c r="G240" s="324"/>
      <c r="H240" s="186">
        <v>250</v>
      </c>
      <c r="I240" s="183"/>
    </row>
    <row r="241" spans="2:9" ht="15" customHeight="1" x14ac:dyDescent="0.25">
      <c r="B241" s="179"/>
      <c r="C241" s="327"/>
      <c r="D241" s="328"/>
      <c r="E241" s="194" t="s">
        <v>195</v>
      </c>
      <c r="F241" s="324" t="s">
        <v>215</v>
      </c>
      <c r="G241" s="324"/>
      <c r="H241" s="186">
        <v>150</v>
      </c>
      <c r="I241" s="183"/>
    </row>
    <row r="242" spans="2:9" ht="15" customHeight="1" x14ac:dyDescent="0.25">
      <c r="B242" s="179"/>
      <c r="C242" s="327"/>
      <c r="D242" s="328"/>
      <c r="E242" s="194" t="s">
        <v>195</v>
      </c>
      <c r="F242" s="324" t="s">
        <v>216</v>
      </c>
      <c r="G242" s="324"/>
      <c r="H242" s="186">
        <v>350</v>
      </c>
      <c r="I242" s="183"/>
    </row>
    <row r="243" spans="2:9" ht="15" customHeight="1" x14ac:dyDescent="0.25">
      <c r="B243" s="179"/>
      <c r="C243" s="327"/>
      <c r="D243" s="328"/>
      <c r="E243" s="194" t="s">
        <v>195</v>
      </c>
      <c r="F243" s="324" t="s">
        <v>217</v>
      </c>
      <c r="G243" s="324"/>
      <c r="H243" s="186">
        <v>550</v>
      </c>
      <c r="I243" s="183"/>
    </row>
    <row r="244" spans="2:9" ht="15" customHeight="1" x14ac:dyDescent="0.25">
      <c r="B244" s="179"/>
      <c r="C244" s="327"/>
      <c r="D244" s="328"/>
      <c r="E244" s="194" t="s">
        <v>195</v>
      </c>
      <c r="F244" s="324" t="s">
        <v>218</v>
      </c>
      <c r="G244" s="324"/>
      <c r="H244" s="186">
        <v>150</v>
      </c>
      <c r="I244" s="183"/>
    </row>
    <row r="245" spans="2:9" ht="15" customHeight="1" x14ac:dyDescent="0.25">
      <c r="B245" s="179"/>
      <c r="C245" s="327"/>
      <c r="D245" s="328"/>
      <c r="E245" s="194" t="s">
        <v>195</v>
      </c>
      <c r="F245" s="324" t="s">
        <v>219</v>
      </c>
      <c r="G245" s="324"/>
      <c r="H245" s="186">
        <v>420</v>
      </c>
      <c r="I245" s="183"/>
    </row>
    <row r="246" spans="2:9" ht="15" customHeight="1" x14ac:dyDescent="0.25">
      <c r="B246" s="179"/>
      <c r="C246" s="327"/>
      <c r="D246" s="328"/>
      <c r="E246" s="194" t="s">
        <v>195</v>
      </c>
      <c r="F246" s="324" t="s">
        <v>220</v>
      </c>
      <c r="G246" s="324"/>
      <c r="H246" s="186">
        <v>350</v>
      </c>
      <c r="I246" s="183"/>
    </row>
    <row r="247" spans="2:9" ht="15" customHeight="1" x14ac:dyDescent="0.25">
      <c r="B247" s="179"/>
      <c r="C247" s="327"/>
      <c r="D247" s="328"/>
      <c r="E247" s="194" t="s">
        <v>195</v>
      </c>
      <c r="F247" s="324" t="s">
        <v>37</v>
      </c>
      <c r="G247" s="324"/>
      <c r="H247" s="186">
        <v>250</v>
      </c>
      <c r="I247" s="183"/>
    </row>
    <row r="248" spans="2:9" ht="15" customHeight="1" x14ac:dyDescent="0.25">
      <c r="B248" s="179"/>
      <c r="C248" s="327"/>
      <c r="D248" s="328"/>
      <c r="E248" s="194" t="s">
        <v>195</v>
      </c>
      <c r="F248" s="324" t="s">
        <v>221</v>
      </c>
      <c r="G248" s="324"/>
      <c r="H248" s="186">
        <v>420</v>
      </c>
      <c r="I248" s="183"/>
    </row>
    <row r="249" spans="2:9" ht="15" customHeight="1" x14ac:dyDescent="0.25">
      <c r="B249" s="179"/>
      <c r="C249" s="327"/>
      <c r="D249" s="328"/>
      <c r="E249" s="194" t="s">
        <v>195</v>
      </c>
      <c r="F249" s="324" t="s">
        <v>40</v>
      </c>
      <c r="G249" s="324"/>
      <c r="H249" s="186">
        <v>250</v>
      </c>
      <c r="I249" s="183"/>
    </row>
    <row r="250" spans="2:9" ht="15" customHeight="1" x14ac:dyDescent="0.25">
      <c r="B250" s="179"/>
      <c r="C250" s="327"/>
      <c r="D250" s="328"/>
      <c r="E250" s="194" t="s">
        <v>195</v>
      </c>
      <c r="F250" s="324" t="s">
        <v>47</v>
      </c>
      <c r="G250" s="324"/>
      <c r="H250" s="186">
        <v>500</v>
      </c>
      <c r="I250" s="183"/>
    </row>
    <row r="251" spans="2:9" ht="15" customHeight="1" x14ac:dyDescent="0.25">
      <c r="B251" s="179"/>
      <c r="C251" s="327"/>
      <c r="D251" s="328"/>
      <c r="E251" s="194" t="s">
        <v>195</v>
      </c>
      <c r="F251" s="324" t="s">
        <v>222</v>
      </c>
      <c r="G251" s="324"/>
      <c r="H251" s="186">
        <v>420</v>
      </c>
      <c r="I251" s="183"/>
    </row>
    <row r="252" spans="2:9" ht="15" customHeight="1" x14ac:dyDescent="0.25">
      <c r="B252" s="179"/>
      <c r="C252" s="327"/>
      <c r="D252" s="328"/>
      <c r="E252" s="194" t="s">
        <v>195</v>
      </c>
      <c r="F252" s="324" t="s">
        <v>50</v>
      </c>
      <c r="G252" s="324"/>
      <c r="H252" s="186">
        <v>420</v>
      </c>
      <c r="I252" s="183"/>
    </row>
    <row r="253" spans="2:9" ht="15" customHeight="1" x14ac:dyDescent="0.25">
      <c r="B253" s="179"/>
      <c r="C253" s="327"/>
      <c r="D253" s="328"/>
      <c r="E253" s="194" t="s">
        <v>195</v>
      </c>
      <c r="F253" s="324" t="s">
        <v>223</v>
      </c>
      <c r="G253" s="324"/>
      <c r="H253" s="186">
        <v>200</v>
      </c>
      <c r="I253" s="183"/>
    </row>
    <row r="254" spans="2:9" ht="15" customHeight="1" x14ac:dyDescent="0.25">
      <c r="B254" s="179"/>
      <c r="C254" s="327"/>
      <c r="D254" s="328"/>
      <c r="E254" s="194" t="s">
        <v>195</v>
      </c>
      <c r="F254" s="324" t="s">
        <v>224</v>
      </c>
      <c r="G254" s="324"/>
      <c r="H254" s="186">
        <v>250</v>
      </c>
      <c r="I254" s="183"/>
    </row>
    <row r="255" spans="2:9" ht="15" customHeight="1" x14ac:dyDescent="0.25">
      <c r="B255" s="179"/>
      <c r="C255" s="327"/>
      <c r="D255" s="328"/>
      <c r="E255" s="194" t="s">
        <v>195</v>
      </c>
      <c r="F255" s="324" t="s">
        <v>225</v>
      </c>
      <c r="G255" s="324"/>
      <c r="H255" s="186">
        <v>200</v>
      </c>
      <c r="I255" s="183"/>
    </row>
    <row r="256" spans="2:9" ht="15" customHeight="1" x14ac:dyDescent="0.25">
      <c r="B256" s="179"/>
      <c r="C256" s="327"/>
      <c r="D256" s="328"/>
      <c r="E256" s="194" t="s">
        <v>195</v>
      </c>
      <c r="F256" s="324" t="s">
        <v>57</v>
      </c>
      <c r="G256" s="324"/>
      <c r="H256" s="186">
        <v>400</v>
      </c>
      <c r="I256" s="183"/>
    </row>
    <row r="257" spans="2:9" ht="15" customHeight="1" x14ac:dyDescent="0.25">
      <c r="B257" s="179"/>
      <c r="C257" s="327"/>
      <c r="D257" s="328"/>
      <c r="E257" s="194" t="s">
        <v>195</v>
      </c>
      <c r="F257" s="324" t="s">
        <v>226</v>
      </c>
      <c r="G257" s="324"/>
      <c r="H257" s="186">
        <v>420</v>
      </c>
      <c r="I257" s="183"/>
    </row>
    <row r="258" spans="2:9" ht="15" customHeight="1" x14ac:dyDescent="0.25">
      <c r="B258" s="179"/>
      <c r="C258" s="327"/>
      <c r="D258" s="328"/>
      <c r="E258" s="194" t="s">
        <v>195</v>
      </c>
      <c r="F258" s="324" t="s">
        <v>68</v>
      </c>
      <c r="G258" s="324"/>
      <c r="H258" s="186">
        <v>150</v>
      </c>
      <c r="I258" s="183"/>
    </row>
    <row r="259" spans="2:9" ht="15" customHeight="1" x14ac:dyDescent="0.25">
      <c r="B259" s="179"/>
      <c r="C259" s="327"/>
      <c r="D259" s="328"/>
      <c r="E259" s="194" t="s">
        <v>195</v>
      </c>
      <c r="F259" s="324" t="s">
        <v>70</v>
      </c>
      <c r="G259" s="324"/>
      <c r="H259" s="186">
        <v>250</v>
      </c>
      <c r="I259" s="183"/>
    </row>
    <row r="260" spans="2:9" ht="15" customHeight="1" x14ac:dyDescent="0.25">
      <c r="B260" s="179"/>
      <c r="C260" s="327"/>
      <c r="D260" s="328"/>
      <c r="E260" s="194" t="s">
        <v>195</v>
      </c>
      <c r="F260" s="324" t="s">
        <v>227</v>
      </c>
      <c r="G260" s="324"/>
      <c r="H260" s="186">
        <v>250</v>
      </c>
      <c r="I260" s="183"/>
    </row>
    <row r="261" spans="2:9" ht="15" customHeight="1" x14ac:dyDescent="0.25">
      <c r="B261" s="179"/>
      <c r="C261" s="327"/>
      <c r="D261" s="328"/>
      <c r="E261" s="194" t="s">
        <v>195</v>
      </c>
      <c r="F261" s="324" t="s">
        <v>77</v>
      </c>
      <c r="G261" s="324"/>
      <c r="H261" s="186">
        <v>120</v>
      </c>
      <c r="I261" s="183"/>
    </row>
    <row r="262" spans="2:9" ht="15" customHeight="1" x14ac:dyDescent="0.25">
      <c r="B262" s="179"/>
      <c r="C262" s="329"/>
      <c r="D262" s="330"/>
      <c r="E262" s="194" t="s">
        <v>195</v>
      </c>
      <c r="F262" s="331" t="s">
        <v>228</v>
      </c>
      <c r="G262" s="332"/>
      <c r="H262" s="186">
        <v>250</v>
      </c>
      <c r="I262" s="183"/>
    </row>
    <row r="263" spans="2:9" ht="15" customHeight="1" x14ac:dyDescent="0.25">
      <c r="B263" s="179"/>
      <c r="C263" s="325" t="s">
        <v>229</v>
      </c>
      <c r="D263" s="326"/>
      <c r="E263" s="194" t="s">
        <v>229</v>
      </c>
      <c r="F263" s="206" t="s">
        <v>230</v>
      </c>
      <c r="G263" s="207"/>
      <c r="H263" s="185">
        <v>530</v>
      </c>
      <c r="I263" s="183"/>
    </row>
    <row r="264" spans="2:9" ht="15" customHeight="1" x14ac:dyDescent="0.25">
      <c r="B264" s="179"/>
      <c r="C264" s="327"/>
      <c r="D264" s="328"/>
      <c r="E264" s="194" t="s">
        <v>229</v>
      </c>
      <c r="F264" s="187" t="s">
        <v>231</v>
      </c>
      <c r="G264" s="188"/>
      <c r="H264" s="196">
        <v>550</v>
      </c>
      <c r="I264" s="183"/>
    </row>
    <row r="265" spans="2:9" ht="15" customHeight="1" x14ac:dyDescent="0.25">
      <c r="B265" s="179"/>
      <c r="C265" s="327"/>
      <c r="D265" s="328"/>
      <c r="E265" s="194" t="s">
        <v>229</v>
      </c>
      <c r="F265" s="187" t="s">
        <v>232</v>
      </c>
      <c r="G265" s="188"/>
      <c r="H265" s="186">
        <v>500</v>
      </c>
      <c r="I265" s="183"/>
    </row>
    <row r="266" spans="2:9" ht="15" customHeight="1" x14ac:dyDescent="0.25">
      <c r="B266" s="179"/>
      <c r="C266" s="327"/>
      <c r="D266" s="328"/>
      <c r="E266" s="194" t="s">
        <v>229</v>
      </c>
      <c r="F266" s="187" t="s">
        <v>233</v>
      </c>
      <c r="G266" s="188"/>
      <c r="H266" s="186">
        <v>350</v>
      </c>
      <c r="I266" s="183"/>
    </row>
    <row r="267" spans="2:9" ht="15" customHeight="1" x14ac:dyDescent="0.25">
      <c r="B267" s="179"/>
      <c r="C267" s="327"/>
      <c r="D267" s="328"/>
      <c r="E267" s="194" t="s">
        <v>229</v>
      </c>
      <c r="F267" s="187" t="s">
        <v>234</v>
      </c>
      <c r="G267" s="188"/>
      <c r="H267" s="186">
        <v>300</v>
      </c>
      <c r="I267" s="183"/>
    </row>
    <row r="268" spans="2:9" ht="15" customHeight="1" x14ac:dyDescent="0.25">
      <c r="B268" s="179"/>
      <c r="C268" s="327"/>
      <c r="D268" s="328"/>
      <c r="E268" s="194" t="s">
        <v>229</v>
      </c>
      <c r="F268" s="187" t="s">
        <v>235</v>
      </c>
      <c r="G268" s="188"/>
      <c r="H268" s="186">
        <v>250</v>
      </c>
      <c r="I268" s="183"/>
    </row>
    <row r="269" spans="2:9" ht="15" customHeight="1" x14ac:dyDescent="0.25">
      <c r="B269" s="179"/>
      <c r="C269" s="327"/>
      <c r="D269" s="328"/>
      <c r="E269" s="194" t="s">
        <v>229</v>
      </c>
      <c r="F269" s="187" t="s">
        <v>236</v>
      </c>
      <c r="G269" s="188"/>
      <c r="H269" s="186">
        <v>475</v>
      </c>
      <c r="I269" s="183"/>
    </row>
    <row r="270" spans="2:9" ht="15" customHeight="1" x14ac:dyDescent="0.25">
      <c r="B270" s="179"/>
      <c r="C270" s="327"/>
      <c r="D270" s="328"/>
      <c r="E270" s="194" t="s">
        <v>229</v>
      </c>
      <c r="F270" s="187" t="s">
        <v>237</v>
      </c>
      <c r="G270" s="188"/>
      <c r="H270" s="186">
        <v>350</v>
      </c>
      <c r="I270" s="183"/>
    </row>
    <row r="271" spans="2:9" ht="15" customHeight="1" x14ac:dyDescent="0.25">
      <c r="B271" s="179"/>
      <c r="C271" s="327"/>
      <c r="D271" s="328"/>
      <c r="E271" s="194" t="s">
        <v>229</v>
      </c>
      <c r="F271" s="187" t="s">
        <v>238</v>
      </c>
      <c r="G271" s="188"/>
      <c r="H271" s="186">
        <v>350</v>
      </c>
      <c r="I271" s="183"/>
    </row>
    <row r="272" spans="2:9" ht="15" customHeight="1" x14ac:dyDescent="0.25">
      <c r="B272" s="179"/>
      <c r="C272" s="327"/>
      <c r="D272" s="328"/>
      <c r="E272" s="194" t="s">
        <v>229</v>
      </c>
      <c r="F272" s="187" t="s">
        <v>25</v>
      </c>
      <c r="G272" s="188"/>
      <c r="H272" s="186">
        <v>780</v>
      </c>
      <c r="I272" s="183"/>
    </row>
    <row r="273" spans="2:9" ht="15" customHeight="1" x14ac:dyDescent="0.25">
      <c r="B273" s="179"/>
      <c r="C273" s="327"/>
      <c r="D273" s="328"/>
      <c r="E273" s="194" t="s">
        <v>229</v>
      </c>
      <c r="F273" s="187" t="s">
        <v>38</v>
      </c>
      <c r="G273" s="188"/>
      <c r="H273" s="186">
        <v>250</v>
      </c>
      <c r="I273" s="183"/>
    </row>
    <row r="274" spans="2:9" ht="15" customHeight="1" x14ac:dyDescent="0.25">
      <c r="B274" s="179"/>
      <c r="C274" s="327"/>
      <c r="D274" s="328"/>
      <c r="E274" s="194" t="s">
        <v>229</v>
      </c>
      <c r="F274" s="187" t="s">
        <v>239</v>
      </c>
      <c r="G274" s="188"/>
      <c r="H274" s="186">
        <v>400</v>
      </c>
      <c r="I274" s="183"/>
    </row>
    <row r="275" spans="2:9" ht="15" customHeight="1" x14ac:dyDescent="0.25">
      <c r="B275" s="179"/>
      <c r="C275" s="327"/>
      <c r="D275" s="328"/>
      <c r="E275" s="194" t="s">
        <v>229</v>
      </c>
      <c r="F275" s="187" t="s">
        <v>240</v>
      </c>
      <c r="G275" s="188"/>
      <c r="H275" s="186">
        <v>800</v>
      </c>
      <c r="I275" s="183"/>
    </row>
    <row r="276" spans="2:9" ht="15" customHeight="1" x14ac:dyDescent="0.25">
      <c r="B276" s="179"/>
      <c r="C276" s="327"/>
      <c r="D276" s="328"/>
      <c r="E276" s="194" t="s">
        <v>229</v>
      </c>
      <c r="F276" s="187" t="s">
        <v>241</v>
      </c>
      <c r="G276" s="188"/>
      <c r="H276" s="186">
        <v>350</v>
      </c>
      <c r="I276" s="183"/>
    </row>
    <row r="277" spans="2:9" ht="15" customHeight="1" x14ac:dyDescent="0.25">
      <c r="B277" s="179"/>
      <c r="C277" s="327"/>
      <c r="D277" s="328"/>
      <c r="E277" s="194" t="s">
        <v>229</v>
      </c>
      <c r="F277" s="187" t="s">
        <v>242</v>
      </c>
      <c r="G277" s="188"/>
      <c r="H277" s="186">
        <v>350</v>
      </c>
      <c r="I277" s="183"/>
    </row>
    <row r="278" spans="2:9" ht="15" customHeight="1" x14ac:dyDescent="0.25">
      <c r="B278" s="179"/>
      <c r="C278" s="327"/>
      <c r="D278" s="328"/>
      <c r="E278" s="194" t="s">
        <v>229</v>
      </c>
      <c r="F278" s="187" t="s">
        <v>243</v>
      </c>
      <c r="G278" s="188"/>
      <c r="H278" s="186">
        <v>650</v>
      </c>
      <c r="I278" s="183"/>
    </row>
    <row r="279" spans="2:9" ht="15" customHeight="1" x14ac:dyDescent="0.25">
      <c r="B279" s="179"/>
      <c r="C279" s="327"/>
      <c r="D279" s="328"/>
      <c r="E279" s="194" t="s">
        <v>229</v>
      </c>
      <c r="F279" s="187" t="s">
        <v>244</v>
      </c>
      <c r="G279" s="188"/>
      <c r="H279" s="186">
        <v>350</v>
      </c>
      <c r="I279" s="183"/>
    </row>
    <row r="280" spans="2:9" ht="15" customHeight="1" x14ac:dyDescent="0.25">
      <c r="B280" s="179"/>
      <c r="C280" s="327"/>
      <c r="D280" s="328"/>
      <c r="E280" s="194" t="s">
        <v>229</v>
      </c>
      <c r="F280" s="187" t="s">
        <v>245</v>
      </c>
      <c r="G280" s="188"/>
      <c r="H280" s="186">
        <v>250</v>
      </c>
      <c r="I280" s="183"/>
    </row>
    <row r="281" spans="2:9" ht="15" customHeight="1" x14ac:dyDescent="0.25">
      <c r="B281" s="179"/>
      <c r="C281" s="327"/>
      <c r="D281" s="328"/>
      <c r="E281" s="194" t="s">
        <v>229</v>
      </c>
      <c r="F281" s="187" t="s">
        <v>246</v>
      </c>
      <c r="G281" s="188"/>
      <c r="H281" s="186">
        <v>250</v>
      </c>
      <c r="I281" s="183"/>
    </row>
    <row r="282" spans="2:9" ht="15" customHeight="1" x14ac:dyDescent="0.25">
      <c r="B282" s="179"/>
      <c r="C282" s="327"/>
      <c r="D282" s="328"/>
      <c r="E282" s="194" t="s">
        <v>229</v>
      </c>
      <c r="F282" s="187" t="s">
        <v>247</v>
      </c>
      <c r="G282" s="188"/>
      <c r="H282" s="186">
        <v>650</v>
      </c>
      <c r="I282" s="183"/>
    </row>
    <row r="283" spans="2:9" ht="15" customHeight="1" x14ac:dyDescent="0.25">
      <c r="B283" s="179"/>
      <c r="C283" s="327"/>
      <c r="D283" s="328"/>
      <c r="E283" s="194" t="s">
        <v>229</v>
      </c>
      <c r="F283" s="187" t="s">
        <v>248</v>
      </c>
      <c r="G283" s="188"/>
      <c r="H283" s="186">
        <v>500</v>
      </c>
      <c r="I283" s="183"/>
    </row>
    <row r="284" spans="2:9" ht="15" customHeight="1" x14ac:dyDescent="0.25">
      <c r="B284" s="179"/>
      <c r="C284" s="327"/>
      <c r="D284" s="328"/>
      <c r="E284" s="194" t="s">
        <v>229</v>
      </c>
      <c r="F284" s="187" t="s">
        <v>249</v>
      </c>
      <c r="G284" s="188"/>
      <c r="H284" s="186">
        <v>550</v>
      </c>
      <c r="I284" s="183"/>
    </row>
    <row r="285" spans="2:9" ht="15" customHeight="1" x14ac:dyDescent="0.25">
      <c r="B285" s="179"/>
      <c r="C285" s="327"/>
      <c r="D285" s="328"/>
      <c r="E285" s="194" t="s">
        <v>229</v>
      </c>
      <c r="F285" s="187" t="s">
        <v>250</v>
      </c>
      <c r="G285" s="188"/>
      <c r="H285" s="186">
        <v>420</v>
      </c>
      <c r="I285" s="183"/>
    </row>
    <row r="286" spans="2:9" ht="15" customHeight="1" x14ac:dyDescent="0.25">
      <c r="B286" s="179"/>
      <c r="C286" s="327"/>
      <c r="D286" s="328"/>
      <c r="E286" s="194" t="s">
        <v>229</v>
      </c>
      <c r="F286" s="187" t="s">
        <v>251</v>
      </c>
      <c r="G286" s="188"/>
      <c r="H286" s="186">
        <v>780</v>
      </c>
      <c r="I286" s="183"/>
    </row>
    <row r="287" spans="2:9" ht="15" customHeight="1" x14ac:dyDescent="0.25">
      <c r="B287" s="179"/>
      <c r="C287" s="327"/>
      <c r="D287" s="328"/>
      <c r="E287" s="194" t="s">
        <v>229</v>
      </c>
      <c r="F287" s="187" t="s">
        <v>252</v>
      </c>
      <c r="G287" s="188"/>
      <c r="H287" s="186">
        <v>340</v>
      </c>
      <c r="I287" s="183"/>
    </row>
    <row r="288" spans="2:9" ht="15" customHeight="1" x14ac:dyDescent="0.25">
      <c r="B288" s="179"/>
      <c r="C288" s="327"/>
      <c r="D288" s="328"/>
      <c r="E288" s="194" t="s">
        <v>229</v>
      </c>
      <c r="F288" s="187" t="s">
        <v>253</v>
      </c>
      <c r="G288" s="188"/>
      <c r="H288" s="186">
        <v>730</v>
      </c>
      <c r="I288" s="183"/>
    </row>
    <row r="289" spans="2:9" ht="15" customHeight="1" x14ac:dyDescent="0.25">
      <c r="B289" s="179"/>
      <c r="C289" s="327"/>
      <c r="D289" s="328"/>
      <c r="E289" s="194" t="s">
        <v>229</v>
      </c>
      <c r="F289" s="187" t="s">
        <v>254</v>
      </c>
      <c r="G289" s="188"/>
      <c r="H289" s="186">
        <v>550</v>
      </c>
      <c r="I289" s="183"/>
    </row>
    <row r="290" spans="2:9" ht="15" customHeight="1" x14ac:dyDescent="0.25">
      <c r="B290" s="179"/>
      <c r="C290" s="327"/>
      <c r="D290" s="328"/>
      <c r="E290" s="194" t="s">
        <v>229</v>
      </c>
      <c r="F290" s="187" t="s">
        <v>255</v>
      </c>
      <c r="G290" s="188"/>
      <c r="H290" s="186">
        <v>680</v>
      </c>
      <c r="I290" s="183"/>
    </row>
    <row r="291" spans="2:9" ht="15" customHeight="1" x14ac:dyDescent="0.25">
      <c r="B291" s="179"/>
      <c r="C291" s="327"/>
      <c r="D291" s="328"/>
      <c r="E291" s="194" t="s">
        <v>229</v>
      </c>
      <c r="F291" s="187" t="s">
        <v>256</v>
      </c>
      <c r="G291" s="188"/>
      <c r="H291" s="186">
        <v>550</v>
      </c>
      <c r="I291" s="183"/>
    </row>
    <row r="292" spans="2:9" ht="15" customHeight="1" x14ac:dyDescent="0.25">
      <c r="B292" s="179"/>
      <c r="C292" s="327"/>
      <c r="D292" s="328"/>
      <c r="E292" s="194" t="s">
        <v>229</v>
      </c>
      <c r="F292" s="187" t="s">
        <v>257</v>
      </c>
      <c r="G292" s="188"/>
      <c r="H292" s="186">
        <v>350</v>
      </c>
      <c r="I292" s="183"/>
    </row>
    <row r="293" spans="2:9" ht="15" customHeight="1" x14ac:dyDescent="0.25">
      <c r="B293" s="179"/>
      <c r="C293" s="327"/>
      <c r="D293" s="328"/>
      <c r="E293" s="194" t="s">
        <v>229</v>
      </c>
      <c r="F293" s="187" t="s">
        <v>258</v>
      </c>
      <c r="G293" s="188"/>
      <c r="H293" s="186">
        <v>725</v>
      </c>
      <c r="I293" s="183"/>
    </row>
    <row r="294" spans="2:9" ht="15" customHeight="1" x14ac:dyDescent="0.25">
      <c r="B294" s="179"/>
      <c r="C294" s="327"/>
      <c r="D294" s="328"/>
      <c r="E294" s="194" t="s">
        <v>229</v>
      </c>
      <c r="F294" s="187" t="s">
        <v>259</v>
      </c>
      <c r="G294" s="188"/>
      <c r="H294" s="186">
        <v>450</v>
      </c>
      <c r="I294" s="183"/>
    </row>
    <row r="295" spans="2:9" ht="15" customHeight="1" x14ac:dyDescent="0.25">
      <c r="B295" s="179"/>
      <c r="C295" s="327"/>
      <c r="D295" s="328"/>
      <c r="E295" s="194" t="s">
        <v>229</v>
      </c>
      <c r="F295" s="187" t="s">
        <v>260</v>
      </c>
      <c r="G295" s="188"/>
      <c r="H295" s="186">
        <v>350</v>
      </c>
      <c r="I295" s="183"/>
    </row>
    <row r="296" spans="2:9" ht="15" customHeight="1" x14ac:dyDescent="0.25">
      <c r="B296" s="179"/>
      <c r="C296" s="327"/>
      <c r="D296" s="328"/>
      <c r="E296" s="194" t="s">
        <v>229</v>
      </c>
      <c r="F296" s="187" t="s">
        <v>261</v>
      </c>
      <c r="G296" s="188"/>
      <c r="H296" s="186">
        <v>120</v>
      </c>
      <c r="I296" s="183"/>
    </row>
    <row r="297" spans="2:9" ht="15" customHeight="1" x14ac:dyDescent="0.25">
      <c r="B297" s="179"/>
      <c r="C297" s="327"/>
      <c r="D297" s="328"/>
      <c r="E297" s="194" t="s">
        <v>229</v>
      </c>
      <c r="F297" s="187" t="s">
        <v>262</v>
      </c>
      <c r="G297" s="188"/>
      <c r="H297" s="186">
        <v>300</v>
      </c>
      <c r="I297" s="183"/>
    </row>
    <row r="298" spans="2:9" ht="15" customHeight="1" x14ac:dyDescent="0.25">
      <c r="B298" s="179"/>
      <c r="C298" s="327"/>
      <c r="D298" s="328"/>
      <c r="E298" s="194" t="s">
        <v>229</v>
      </c>
      <c r="F298" s="187" t="s">
        <v>263</v>
      </c>
      <c r="G298" s="188"/>
      <c r="H298" s="186">
        <v>250</v>
      </c>
      <c r="I298" s="183"/>
    </row>
    <row r="299" spans="2:9" ht="15" customHeight="1" x14ac:dyDescent="0.25">
      <c r="B299" s="179"/>
      <c r="C299" s="327"/>
      <c r="D299" s="328"/>
      <c r="E299" s="194" t="s">
        <v>229</v>
      </c>
      <c r="F299" s="187" t="s">
        <v>264</v>
      </c>
      <c r="G299" s="188"/>
      <c r="H299" s="186">
        <v>450</v>
      </c>
      <c r="I299" s="183"/>
    </row>
    <row r="300" spans="2:9" ht="15" customHeight="1" x14ac:dyDescent="0.25">
      <c r="B300" s="179"/>
      <c r="C300" s="327"/>
      <c r="D300" s="328"/>
      <c r="E300" s="194" t="s">
        <v>229</v>
      </c>
      <c r="F300" s="187" t="s">
        <v>265</v>
      </c>
      <c r="G300" s="188"/>
      <c r="H300" s="186">
        <v>420</v>
      </c>
      <c r="I300" s="183"/>
    </row>
    <row r="301" spans="2:9" ht="15" customHeight="1" x14ac:dyDescent="0.25">
      <c r="B301" s="179"/>
      <c r="C301" s="327"/>
      <c r="D301" s="328"/>
      <c r="E301" s="194" t="s">
        <v>229</v>
      </c>
      <c r="F301" s="187" t="s">
        <v>266</v>
      </c>
      <c r="G301" s="188"/>
      <c r="H301" s="186">
        <v>350</v>
      </c>
      <c r="I301" s="183"/>
    </row>
    <row r="302" spans="2:9" ht="15" customHeight="1" x14ac:dyDescent="0.25">
      <c r="B302" s="179"/>
      <c r="C302" s="327"/>
      <c r="D302" s="328"/>
      <c r="E302" s="194" t="s">
        <v>229</v>
      </c>
      <c r="F302" s="187" t="s">
        <v>267</v>
      </c>
      <c r="G302" s="188"/>
      <c r="H302" s="186">
        <v>400</v>
      </c>
      <c r="I302" s="183"/>
    </row>
    <row r="303" spans="2:9" ht="15" customHeight="1" x14ac:dyDescent="0.25">
      <c r="B303" s="179"/>
      <c r="C303" s="327"/>
      <c r="D303" s="328"/>
      <c r="E303" s="194" t="s">
        <v>229</v>
      </c>
      <c r="F303" s="187" t="s">
        <v>268</v>
      </c>
      <c r="G303" s="188"/>
      <c r="H303" s="186">
        <v>250</v>
      </c>
      <c r="I303" s="183"/>
    </row>
    <row r="304" spans="2:9" ht="15" customHeight="1" x14ac:dyDescent="0.25">
      <c r="B304" s="179"/>
      <c r="C304" s="327"/>
      <c r="D304" s="328"/>
      <c r="E304" s="194" t="s">
        <v>229</v>
      </c>
      <c r="F304" s="187" t="s">
        <v>269</v>
      </c>
      <c r="G304" s="188"/>
      <c r="H304" s="186">
        <v>200</v>
      </c>
      <c r="I304" s="183"/>
    </row>
    <row r="305" spans="2:11" ht="15" customHeight="1" x14ac:dyDescent="0.25">
      <c r="B305" s="179"/>
      <c r="C305" s="327"/>
      <c r="D305" s="328"/>
      <c r="E305" s="194" t="s">
        <v>229</v>
      </c>
      <c r="F305" s="187" t="s">
        <v>270</v>
      </c>
      <c r="G305" s="188"/>
      <c r="H305" s="186">
        <v>250</v>
      </c>
      <c r="I305" s="183"/>
    </row>
    <row r="306" spans="2:11" ht="15" customHeight="1" x14ac:dyDescent="0.25">
      <c r="B306" s="179"/>
      <c r="C306" s="327"/>
      <c r="D306" s="328"/>
      <c r="E306" s="194" t="s">
        <v>229</v>
      </c>
      <c r="F306" s="187" t="s">
        <v>271</v>
      </c>
      <c r="G306" s="188"/>
      <c r="H306" s="186">
        <v>350</v>
      </c>
      <c r="I306" s="183"/>
    </row>
    <row r="307" spans="2:11" ht="15" customHeight="1" x14ac:dyDescent="0.25">
      <c r="B307" s="179"/>
      <c r="C307" s="327"/>
      <c r="D307" s="328"/>
      <c r="E307" s="194" t="s">
        <v>229</v>
      </c>
      <c r="F307" s="187" t="s">
        <v>272</v>
      </c>
      <c r="G307" s="188"/>
      <c r="H307" s="186">
        <v>400</v>
      </c>
      <c r="I307" s="183"/>
    </row>
    <row r="308" spans="2:11" ht="15" customHeight="1" x14ac:dyDescent="0.25">
      <c r="B308" s="179"/>
      <c r="C308" s="327"/>
      <c r="D308" s="328"/>
      <c r="E308" s="194" t="s">
        <v>229</v>
      </c>
      <c r="F308" s="187" t="s">
        <v>273</v>
      </c>
      <c r="G308" s="188"/>
      <c r="H308" s="186">
        <v>250</v>
      </c>
      <c r="I308" s="183"/>
    </row>
    <row r="309" spans="2:11" ht="15" customHeight="1" x14ac:dyDescent="0.25">
      <c r="B309" s="179"/>
      <c r="C309" s="327"/>
      <c r="D309" s="328"/>
      <c r="E309" s="194" t="s">
        <v>229</v>
      </c>
      <c r="F309" s="187" t="s">
        <v>274</v>
      </c>
      <c r="G309" s="188"/>
      <c r="H309" s="186">
        <v>250</v>
      </c>
      <c r="I309" s="183"/>
    </row>
    <row r="310" spans="2:11" ht="15" customHeight="1" x14ac:dyDescent="0.25">
      <c r="B310" s="179"/>
      <c r="C310" s="327"/>
      <c r="D310" s="328"/>
      <c r="E310" s="194" t="s">
        <v>229</v>
      </c>
      <c r="F310" s="187" t="s">
        <v>275</v>
      </c>
      <c r="G310" s="188"/>
      <c r="H310" s="186">
        <v>250</v>
      </c>
      <c r="I310" s="183"/>
    </row>
    <row r="311" spans="2:11" ht="15" customHeight="1" x14ac:dyDescent="0.25">
      <c r="B311" s="179"/>
      <c r="C311" s="327"/>
      <c r="D311" s="328"/>
      <c r="E311" s="194" t="s">
        <v>229</v>
      </c>
      <c r="F311" s="187" t="s">
        <v>276</v>
      </c>
      <c r="G311" s="188"/>
      <c r="H311" s="186">
        <v>340</v>
      </c>
      <c r="I311" s="183"/>
    </row>
    <row r="312" spans="2:11" ht="15" customHeight="1" x14ac:dyDescent="0.25">
      <c r="B312" s="179"/>
      <c r="C312" s="327"/>
      <c r="D312" s="328"/>
      <c r="E312" s="194" t="s">
        <v>229</v>
      </c>
      <c r="F312" s="187" t="s">
        <v>277</v>
      </c>
      <c r="G312" s="188"/>
      <c r="H312" s="186">
        <v>450</v>
      </c>
      <c r="I312" s="183"/>
    </row>
    <row r="313" spans="2:11" ht="15" customHeight="1" x14ac:dyDescent="0.25">
      <c r="B313" s="179"/>
      <c r="C313" s="327"/>
      <c r="D313" s="328"/>
      <c r="E313" s="194" t="s">
        <v>229</v>
      </c>
      <c r="F313" s="187" t="s">
        <v>278</v>
      </c>
      <c r="G313" s="188"/>
      <c r="H313" s="186">
        <v>100</v>
      </c>
      <c r="I313" s="183"/>
    </row>
    <row r="314" spans="2:11" ht="15" customHeight="1" x14ac:dyDescent="0.25">
      <c r="B314" s="179"/>
      <c r="C314" s="327"/>
      <c r="D314" s="328"/>
      <c r="E314" s="194" t="s">
        <v>229</v>
      </c>
      <c r="F314" s="187" t="s">
        <v>279</v>
      </c>
      <c r="G314" s="188"/>
      <c r="H314" s="186">
        <v>150</v>
      </c>
      <c r="I314" s="183"/>
    </row>
    <row r="315" spans="2:11" ht="15" customHeight="1" x14ac:dyDescent="0.25">
      <c r="B315" s="179"/>
      <c r="C315" s="329"/>
      <c r="D315" s="330"/>
      <c r="E315" s="194" t="s">
        <v>229</v>
      </c>
      <c r="F315" s="208" t="s">
        <v>280</v>
      </c>
      <c r="G315" s="209"/>
      <c r="H315" s="205">
        <v>250</v>
      </c>
      <c r="I315" s="183"/>
    </row>
    <row r="316" spans="2:11" ht="21" customHeight="1" x14ac:dyDescent="0.25">
      <c r="B316" s="210"/>
      <c r="C316" s="62"/>
      <c r="D316" s="211"/>
      <c r="E316" s="62"/>
      <c r="F316" s="62"/>
      <c r="G316" s="62"/>
      <c r="H316" s="212"/>
      <c r="I316" s="213"/>
    </row>
    <row r="317" spans="2:11" ht="9" customHeight="1" x14ac:dyDescent="0.25"/>
    <row r="318" spans="2:11" ht="12" customHeight="1" x14ac:dyDescent="0.25">
      <c r="I318" s="235" t="s">
        <v>484</v>
      </c>
      <c r="K318" s="247" t="s">
        <v>281</v>
      </c>
    </row>
    <row r="319" spans="2:11" ht="12" customHeight="1" x14ac:dyDescent="0.25">
      <c r="I319" s="235" t="s">
        <v>282</v>
      </c>
      <c r="K319" s="247">
        <f>IF(H10="IP units",1,2)</f>
        <v>1</v>
      </c>
    </row>
    <row r="320" spans="2:11" ht="12" customHeight="1" x14ac:dyDescent="0.25">
      <c r="I320" s="236" t="s">
        <v>283</v>
      </c>
      <c r="K320" s="248" t="s">
        <v>284</v>
      </c>
    </row>
    <row r="321" spans="9:14" ht="12" customHeight="1" x14ac:dyDescent="0.25">
      <c r="I321" s="236" t="s">
        <v>285</v>
      </c>
    </row>
    <row r="322" spans="9:14" x14ac:dyDescent="0.25">
      <c r="I322" s="236" t="s">
        <v>485</v>
      </c>
    </row>
    <row r="324" spans="9:14" x14ac:dyDescent="0.25">
      <c r="K324" s="249" t="s">
        <v>286</v>
      </c>
    </row>
    <row r="325" spans="9:14" x14ac:dyDescent="0.25">
      <c r="J325" s="260" t="s">
        <v>287</v>
      </c>
      <c r="K325" s="237" t="s">
        <v>288</v>
      </c>
      <c r="L325" s="237" t="s">
        <v>289</v>
      </c>
    </row>
    <row r="326" spans="9:14" ht="12.6" customHeight="1" x14ac:dyDescent="0.25">
      <c r="J326" s="259" t="s">
        <v>290</v>
      </c>
      <c r="K326" s="238" t="s">
        <v>291</v>
      </c>
      <c r="L326" s="238" t="s">
        <v>292</v>
      </c>
    </row>
    <row r="327" spans="9:14" ht="11.45" customHeight="1" x14ac:dyDescent="0.25">
      <c r="J327" s="259" t="s">
        <v>293</v>
      </c>
      <c r="K327" s="238" t="s">
        <v>294</v>
      </c>
      <c r="L327" s="238" t="s">
        <v>295</v>
      </c>
    </row>
    <row r="328" spans="9:14" ht="10.9" customHeight="1" x14ac:dyDescent="0.25">
      <c r="J328" s="259" t="s">
        <v>296</v>
      </c>
      <c r="K328" s="250" t="s">
        <v>297</v>
      </c>
      <c r="L328" s="238" t="s">
        <v>298</v>
      </c>
    </row>
    <row r="329" spans="9:14" x14ac:dyDescent="0.25">
      <c r="J329" s="259" t="s">
        <v>299</v>
      </c>
      <c r="K329" s="238" t="s">
        <v>300</v>
      </c>
      <c r="L329" s="238" t="s">
        <v>301</v>
      </c>
    </row>
    <row r="330" spans="9:14" ht="23.25" x14ac:dyDescent="0.25">
      <c r="J330" s="259" t="s">
        <v>302</v>
      </c>
      <c r="K330" s="238" t="s">
        <v>297</v>
      </c>
    </row>
    <row r="331" spans="9:14" x14ac:dyDescent="0.25">
      <c r="J331" s="259" t="s">
        <v>303</v>
      </c>
    </row>
    <row r="332" spans="9:14" ht="23.25" x14ac:dyDescent="0.25">
      <c r="J332" s="259" t="s">
        <v>304</v>
      </c>
      <c r="K332" s="249" t="s">
        <v>305</v>
      </c>
    </row>
    <row r="333" spans="9:14" ht="24" x14ac:dyDescent="0.25">
      <c r="J333" s="259" t="s">
        <v>306</v>
      </c>
      <c r="K333" s="251" t="s">
        <v>307</v>
      </c>
      <c r="L333" s="237" t="s">
        <v>308</v>
      </c>
      <c r="M333" s="257" t="s">
        <v>309</v>
      </c>
      <c r="N333" s="263" t="s">
        <v>308</v>
      </c>
    </row>
    <row r="334" spans="9:14" ht="17.45" customHeight="1" x14ac:dyDescent="0.25">
      <c r="J334" s="259" t="s">
        <v>310</v>
      </c>
      <c r="K334" s="252" t="s">
        <v>171</v>
      </c>
      <c r="L334" s="264" t="s">
        <v>311</v>
      </c>
      <c r="M334" s="239" t="s">
        <v>80</v>
      </c>
      <c r="N334" s="265" t="s">
        <v>312</v>
      </c>
    </row>
    <row r="335" spans="9:14" ht="38.25" x14ac:dyDescent="0.25">
      <c r="J335" s="259" t="s">
        <v>313</v>
      </c>
      <c r="K335" s="253" t="s">
        <v>17</v>
      </c>
      <c r="L335" s="264" t="s">
        <v>314</v>
      </c>
      <c r="M335" s="252" t="s">
        <v>195</v>
      </c>
      <c r="N335" s="265" t="s">
        <v>315</v>
      </c>
    </row>
    <row r="336" spans="9:14" ht="39" x14ac:dyDescent="0.25">
      <c r="J336" s="259" t="s">
        <v>316</v>
      </c>
      <c r="K336" s="254" t="s">
        <v>146</v>
      </c>
      <c r="L336" s="264" t="s">
        <v>317</v>
      </c>
      <c r="M336" s="240" t="s">
        <v>318</v>
      </c>
      <c r="N336" s="266" t="s">
        <v>319</v>
      </c>
    </row>
    <row r="337" spans="10:14" ht="25.5" x14ac:dyDescent="0.25">
      <c r="J337" s="259" t="s">
        <v>320</v>
      </c>
      <c r="K337" s="252" t="s">
        <v>195</v>
      </c>
      <c r="L337" s="264" t="s">
        <v>315</v>
      </c>
      <c r="M337" s="255"/>
      <c r="N337" s="266" t="s">
        <v>319</v>
      </c>
    </row>
    <row r="338" spans="10:14" x14ac:dyDescent="0.25">
      <c r="K338" s="315" t="s">
        <v>229</v>
      </c>
      <c r="L338" s="264" t="s">
        <v>321</v>
      </c>
      <c r="M338" s="255"/>
      <c r="N338" s="265" t="s">
        <v>319</v>
      </c>
    </row>
    <row r="340" spans="10:14" x14ac:dyDescent="0.25">
      <c r="K340" s="256"/>
      <c r="L340" s="260" t="s">
        <v>322</v>
      </c>
    </row>
    <row r="341" spans="10:14" x14ac:dyDescent="0.25">
      <c r="K341" s="244"/>
      <c r="L341" s="244"/>
      <c r="M341" s="244"/>
      <c r="N341" s="244"/>
    </row>
    <row r="342" spans="10:14" ht="26.25" x14ac:dyDescent="0.25">
      <c r="K342" s="257" t="s">
        <v>323</v>
      </c>
      <c r="L342" s="257" t="s">
        <v>323</v>
      </c>
      <c r="M342" s="244"/>
      <c r="N342" s="244"/>
    </row>
    <row r="343" spans="10:14" ht="26.25" x14ac:dyDescent="0.25">
      <c r="K343" s="257" t="s">
        <v>324</v>
      </c>
      <c r="L343" s="257" t="s">
        <v>324</v>
      </c>
      <c r="M343" s="244"/>
      <c r="N343" s="244"/>
    </row>
    <row r="344" spans="10:14" x14ac:dyDescent="0.25">
      <c r="K344" s="257" t="s">
        <v>325</v>
      </c>
      <c r="L344" s="257" t="s">
        <v>297</v>
      </c>
      <c r="M344" s="244"/>
      <c r="N344" s="244"/>
    </row>
    <row r="345" spans="10:14" x14ac:dyDescent="0.25">
      <c r="K345" s="257" t="s">
        <v>326</v>
      </c>
      <c r="M345" s="244"/>
      <c r="N345" s="244"/>
    </row>
    <row r="346" spans="10:14" x14ac:dyDescent="0.25">
      <c r="K346" s="257" t="s">
        <v>297</v>
      </c>
      <c r="L346" s="260"/>
      <c r="M346" s="260"/>
    </row>
    <row r="347" spans="10:14" x14ac:dyDescent="0.25">
      <c r="K347" s="258" t="s">
        <v>291</v>
      </c>
      <c r="L347" s="259" t="s">
        <v>327</v>
      </c>
      <c r="M347" s="259" t="s">
        <v>327</v>
      </c>
    </row>
    <row r="348" spans="10:14" x14ac:dyDescent="0.25">
      <c r="K348" s="259" t="s">
        <v>294</v>
      </c>
    </row>
    <row r="349" spans="10:14" x14ac:dyDescent="0.25">
      <c r="K349" s="238" t="s">
        <v>297</v>
      </c>
    </row>
    <row r="350" spans="10:14" x14ac:dyDescent="0.25">
      <c r="K350" s="256"/>
    </row>
    <row r="351" spans="10:14" x14ac:dyDescent="0.25">
      <c r="K351" s="257" t="s">
        <v>328</v>
      </c>
    </row>
    <row r="352" spans="10:14" x14ac:dyDescent="0.25">
      <c r="J352" s="257" t="s">
        <v>329</v>
      </c>
      <c r="K352" s="240" t="s">
        <v>330</v>
      </c>
    </row>
    <row r="353" spans="10:13" x14ac:dyDescent="0.25">
      <c r="J353" s="257" t="s">
        <v>329</v>
      </c>
      <c r="K353" s="240" t="s">
        <v>331</v>
      </c>
    </row>
    <row r="354" spans="10:13" ht="26.25" x14ac:dyDescent="0.25">
      <c r="J354" s="257" t="s">
        <v>329</v>
      </c>
      <c r="K354" s="240" t="s">
        <v>332</v>
      </c>
    </row>
    <row r="355" spans="10:13" x14ac:dyDescent="0.25">
      <c r="J355" s="257" t="s">
        <v>325</v>
      </c>
      <c r="K355" s="260" t="s">
        <v>327</v>
      </c>
    </row>
    <row r="356" spans="10:13" x14ac:dyDescent="0.25">
      <c r="J356" s="257" t="s">
        <v>326</v>
      </c>
      <c r="K356" s="260" t="s">
        <v>327</v>
      </c>
    </row>
    <row r="357" spans="10:13" x14ac:dyDescent="0.25">
      <c r="J357" s="257" t="s">
        <v>320</v>
      </c>
      <c r="K357" s="260" t="s">
        <v>333</v>
      </c>
    </row>
    <row r="358" spans="10:13" x14ac:dyDescent="0.25">
      <c r="J358" s="257" t="s">
        <v>297</v>
      </c>
      <c r="K358" s="260" t="s">
        <v>327</v>
      </c>
    </row>
    <row r="359" spans="10:13" ht="26.25" x14ac:dyDescent="0.25">
      <c r="K359" s="260" t="s">
        <v>334</v>
      </c>
      <c r="L359" s="260" t="s">
        <v>325</v>
      </c>
      <c r="M359" s="260" t="s">
        <v>326</v>
      </c>
    </row>
    <row r="360" spans="10:13" ht="26.25" x14ac:dyDescent="0.25">
      <c r="K360" s="240" t="s">
        <v>335</v>
      </c>
      <c r="L360" s="245" t="s">
        <v>326</v>
      </c>
      <c r="M360" s="245" t="s">
        <v>297</v>
      </c>
    </row>
    <row r="361" spans="10:13" x14ac:dyDescent="0.25">
      <c r="K361" s="259" t="s">
        <v>290</v>
      </c>
      <c r="L361" s="260" t="s">
        <v>327</v>
      </c>
      <c r="M361" s="260" t="s">
        <v>327</v>
      </c>
    </row>
    <row r="362" spans="10:13" x14ac:dyDescent="0.25">
      <c r="K362" s="259" t="s">
        <v>293</v>
      </c>
    </row>
    <row r="363" spans="10:13" x14ac:dyDescent="0.25">
      <c r="K363" s="259" t="s">
        <v>296</v>
      </c>
    </row>
    <row r="364" spans="10:13" x14ac:dyDescent="0.25">
      <c r="K364" s="259" t="s">
        <v>299</v>
      </c>
    </row>
    <row r="365" spans="10:13" x14ac:dyDescent="0.25">
      <c r="K365" s="259" t="s">
        <v>302</v>
      </c>
    </row>
    <row r="366" spans="10:13" x14ac:dyDescent="0.25">
      <c r="K366" s="259" t="s">
        <v>303</v>
      </c>
    </row>
    <row r="367" spans="10:13" ht="23.25" x14ac:dyDescent="0.25">
      <c r="K367" s="259" t="s">
        <v>304</v>
      </c>
    </row>
    <row r="368" spans="10:13" x14ac:dyDescent="0.25">
      <c r="K368" s="259" t="s">
        <v>306</v>
      </c>
    </row>
    <row r="369" spans="11:11" x14ac:dyDescent="0.25">
      <c r="K369" s="259" t="s">
        <v>310</v>
      </c>
    </row>
    <row r="370" spans="11:11" x14ac:dyDescent="0.25">
      <c r="K370" s="259" t="s">
        <v>313</v>
      </c>
    </row>
    <row r="371" spans="11:11" x14ac:dyDescent="0.25">
      <c r="K371" s="259" t="s">
        <v>316</v>
      </c>
    </row>
    <row r="372" spans="11:11" x14ac:dyDescent="0.25">
      <c r="K372" s="259" t="s">
        <v>320</v>
      </c>
    </row>
    <row r="375" spans="11:11" x14ac:dyDescent="0.25">
      <c r="K375" s="260" t="s">
        <v>327</v>
      </c>
    </row>
  </sheetData>
  <sheetProtection algorithmName="SHA-512" hashValue="U13zTVcsQFnntYEMMldkHCv5qWttplvv0Ut7H52bwsIpSliWROahzER6pQMJpAbw7ttApJorpf5+PM+e0nrl2g==" saltValue="wgEFy2J5Qf9CdRi3gxw77A==" spinCount="100000" sheet="1" formatColumns="0" formatRows="0"/>
  <mergeCells count="217">
    <mergeCell ref="C212:D262"/>
    <mergeCell ref="C80:C145"/>
    <mergeCell ref="F44:G44"/>
    <mergeCell ref="F42:G42"/>
    <mergeCell ref="F24:G24"/>
    <mergeCell ref="F25:G25"/>
    <mergeCell ref="F26:G26"/>
    <mergeCell ref="F130:G130"/>
    <mergeCell ref="F133:G133"/>
    <mergeCell ref="F141:G141"/>
    <mergeCell ref="F142:G142"/>
    <mergeCell ref="F27:G27"/>
    <mergeCell ref="F28:G28"/>
    <mergeCell ref="F29:G29"/>
    <mergeCell ref="F30:G30"/>
    <mergeCell ref="F41:G41"/>
    <mergeCell ref="F51:G51"/>
    <mergeCell ref="F45:G45"/>
    <mergeCell ref="F46:G46"/>
    <mergeCell ref="F47:G47"/>
    <mergeCell ref="F48:G48"/>
    <mergeCell ref="F49:G49"/>
    <mergeCell ref="F50:G50"/>
    <mergeCell ref="F57:G57"/>
    <mergeCell ref="F21:G21"/>
    <mergeCell ref="F22:G22"/>
    <mergeCell ref="F37:G37"/>
    <mergeCell ref="F38:G38"/>
    <mergeCell ref="F39:G39"/>
    <mergeCell ref="F40:G40"/>
    <mergeCell ref="F31:G31"/>
    <mergeCell ref="F32:G32"/>
    <mergeCell ref="F33:G33"/>
    <mergeCell ref="F34:G34"/>
    <mergeCell ref="F35:G35"/>
    <mergeCell ref="F36:G36"/>
    <mergeCell ref="F23:G23"/>
    <mergeCell ref="F58:G58"/>
    <mergeCell ref="F59:G59"/>
    <mergeCell ref="F60:G60"/>
    <mergeCell ref="F61:G61"/>
    <mergeCell ref="F66:G66"/>
    <mergeCell ref="F52:G52"/>
    <mergeCell ref="F53:G53"/>
    <mergeCell ref="F54:G54"/>
    <mergeCell ref="F55:G55"/>
    <mergeCell ref="F56:G56"/>
    <mergeCell ref="F82:G82"/>
    <mergeCell ref="F70:G70"/>
    <mergeCell ref="F72:G72"/>
    <mergeCell ref="F73:G73"/>
    <mergeCell ref="F78:G78"/>
    <mergeCell ref="F79:G79"/>
    <mergeCell ref="F94:G94"/>
    <mergeCell ref="F62:G62"/>
    <mergeCell ref="F63:G63"/>
    <mergeCell ref="F64:G64"/>
    <mergeCell ref="F65:G65"/>
    <mergeCell ref="F67:G67"/>
    <mergeCell ref="F68:G68"/>
    <mergeCell ref="F145:G145"/>
    <mergeCell ref="F107:G107"/>
    <mergeCell ref="F114:G114"/>
    <mergeCell ref="F115:G115"/>
    <mergeCell ref="F118:G118"/>
    <mergeCell ref="F98:G98"/>
    <mergeCell ref="F143:G143"/>
    <mergeCell ref="F121:G121"/>
    <mergeCell ref="F131:G131"/>
    <mergeCell ref="F104:G104"/>
    <mergeCell ref="F101:G101"/>
    <mergeCell ref="F103:G103"/>
    <mergeCell ref="F124:G124"/>
    <mergeCell ref="F134:G134"/>
    <mergeCell ref="F135:G135"/>
    <mergeCell ref="F136:G136"/>
    <mergeCell ref="F137:G137"/>
    <mergeCell ref="F105:G105"/>
    <mergeCell ref="F116:G116"/>
    <mergeCell ref="F117:G117"/>
    <mergeCell ref="F139:G139"/>
    <mergeCell ref="F140:G140"/>
    <mergeCell ref="F106:G106"/>
    <mergeCell ref="F149:G149"/>
    <mergeCell ref="F150:G150"/>
    <mergeCell ref="F151:G151"/>
    <mergeCell ref="F152:G152"/>
    <mergeCell ref="F153:G153"/>
    <mergeCell ref="F154:G154"/>
    <mergeCell ref="F146:G146"/>
    <mergeCell ref="F147:G147"/>
    <mergeCell ref="F148:G148"/>
    <mergeCell ref="F161:G161"/>
    <mergeCell ref="F162:G162"/>
    <mergeCell ref="F163:G163"/>
    <mergeCell ref="F164:G164"/>
    <mergeCell ref="F165:G165"/>
    <mergeCell ref="F166:G166"/>
    <mergeCell ref="F155:G155"/>
    <mergeCell ref="F156:G156"/>
    <mergeCell ref="F157:G157"/>
    <mergeCell ref="F158:G158"/>
    <mergeCell ref="F159:G159"/>
    <mergeCell ref="F160:G160"/>
    <mergeCell ref="F173:G173"/>
    <mergeCell ref="F174:G174"/>
    <mergeCell ref="F175:G175"/>
    <mergeCell ref="F176:G176"/>
    <mergeCell ref="F177:G177"/>
    <mergeCell ref="F178:G178"/>
    <mergeCell ref="F167:G167"/>
    <mergeCell ref="F168:G168"/>
    <mergeCell ref="F169:G169"/>
    <mergeCell ref="F170:G170"/>
    <mergeCell ref="F171:G171"/>
    <mergeCell ref="F172:G172"/>
    <mergeCell ref="F185:G185"/>
    <mergeCell ref="F186:G186"/>
    <mergeCell ref="F187:G187"/>
    <mergeCell ref="F188:G188"/>
    <mergeCell ref="F189:G189"/>
    <mergeCell ref="F190:G190"/>
    <mergeCell ref="F179:G179"/>
    <mergeCell ref="F180:G180"/>
    <mergeCell ref="F181:G181"/>
    <mergeCell ref="F182:G182"/>
    <mergeCell ref="F183:G183"/>
    <mergeCell ref="F184:G184"/>
    <mergeCell ref="F197:G197"/>
    <mergeCell ref="F198:G198"/>
    <mergeCell ref="F200:G200"/>
    <mergeCell ref="F201:G201"/>
    <mergeCell ref="F202:G202"/>
    <mergeCell ref="F203:G203"/>
    <mergeCell ref="F191:G191"/>
    <mergeCell ref="F192:G192"/>
    <mergeCell ref="F193:G193"/>
    <mergeCell ref="F194:G194"/>
    <mergeCell ref="F195:G195"/>
    <mergeCell ref="F196:G196"/>
    <mergeCell ref="F199:G199"/>
    <mergeCell ref="F210:G210"/>
    <mergeCell ref="F211:G211"/>
    <mergeCell ref="F212:G212"/>
    <mergeCell ref="F213:G213"/>
    <mergeCell ref="F214:G214"/>
    <mergeCell ref="F215:G215"/>
    <mergeCell ref="F204:G204"/>
    <mergeCell ref="F205:G205"/>
    <mergeCell ref="F206:G206"/>
    <mergeCell ref="F207:G207"/>
    <mergeCell ref="F208:G208"/>
    <mergeCell ref="F209:G209"/>
    <mergeCell ref="F219:G219"/>
    <mergeCell ref="F236:G236"/>
    <mergeCell ref="F246:G246"/>
    <mergeCell ref="F237:G237"/>
    <mergeCell ref="F247:G247"/>
    <mergeCell ref="F238:G238"/>
    <mergeCell ref="F216:G216"/>
    <mergeCell ref="F217:G217"/>
    <mergeCell ref="F218:G218"/>
    <mergeCell ref="F245:G245"/>
    <mergeCell ref="F243:G243"/>
    <mergeCell ref="F244:G244"/>
    <mergeCell ref="F222:G222"/>
    <mergeCell ref="F223:G223"/>
    <mergeCell ref="F241:G241"/>
    <mergeCell ref="F220:G220"/>
    <mergeCell ref="F3:H3"/>
    <mergeCell ref="F12:H12"/>
    <mergeCell ref="F13:H13"/>
    <mergeCell ref="F16:H16"/>
    <mergeCell ref="C22:D79"/>
    <mergeCell ref="C170:D211"/>
    <mergeCell ref="C146:D169"/>
    <mergeCell ref="F258:G258"/>
    <mergeCell ref="F234:G234"/>
    <mergeCell ref="F235:G235"/>
    <mergeCell ref="C21:E21"/>
    <mergeCell ref="F229:G229"/>
    <mergeCell ref="F230:G230"/>
    <mergeCell ref="F231:G231"/>
    <mergeCell ref="F257:G257"/>
    <mergeCell ref="F233:G233"/>
    <mergeCell ref="F232:G232"/>
    <mergeCell ref="F225:G225"/>
    <mergeCell ref="F250:G250"/>
    <mergeCell ref="F240:G240"/>
    <mergeCell ref="F248:G248"/>
    <mergeCell ref="F249:G249"/>
    <mergeCell ref="F221:G221"/>
    <mergeCell ref="F239:G239"/>
    <mergeCell ref="F43:G43"/>
    <mergeCell ref="F84:G84"/>
    <mergeCell ref="F85:G85"/>
    <mergeCell ref="F86:G86"/>
    <mergeCell ref="F89:G89"/>
    <mergeCell ref="F90:G90"/>
    <mergeCell ref="F92:G92"/>
    <mergeCell ref="F93:G93"/>
    <mergeCell ref="C263:D315"/>
    <mergeCell ref="F259:G259"/>
    <mergeCell ref="F262:G262"/>
    <mergeCell ref="F261:G261"/>
    <mergeCell ref="F260:G260"/>
    <mergeCell ref="F226:G226"/>
    <mergeCell ref="F227:G227"/>
    <mergeCell ref="F242:G242"/>
    <mergeCell ref="F256:G256"/>
    <mergeCell ref="F228:G228"/>
    <mergeCell ref="F224:G224"/>
    <mergeCell ref="F251:G251"/>
    <mergeCell ref="F252:G252"/>
    <mergeCell ref="F253:G253"/>
    <mergeCell ref="F254:G254"/>
    <mergeCell ref="F255:G255"/>
  </mergeCells>
  <dataValidations count="1">
    <dataValidation type="list" allowBlank="1" showInputMessage="1" showErrorMessage="1" sqref="H10" xr:uid="{00000000-0002-0000-0000-000000000000}">
      <formula1>"IP units, SI units"</formula1>
    </dataValidation>
  </dataValidations>
  <pageMargins left="0.7" right="0.7" top="0.75" bottom="0.75" header="0.3" footer="0.3"/>
  <pageSetup scale="75" orientation="portrait" horizontalDpi="300" verticalDpi="300" r:id="rId1"/>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I49"/>
  <sheetViews>
    <sheetView showGridLines="0" topLeftCell="K1" zoomScale="115" zoomScaleNormal="115" zoomScalePageLayoutView="80" workbookViewId="0">
      <pane ySplit="11" topLeftCell="A27" activePane="bottomLeft" state="frozen"/>
      <selection activeCell="F30" sqref="F30"/>
      <selection pane="bottomLeft" activeCell="N16" sqref="N16"/>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7" width="2.42578125" style="2" customWidth="1"/>
    <col min="8" max="8" width="34.140625" style="2" customWidth="1"/>
    <col min="9" max="9" width="25.28515625" style="2" customWidth="1"/>
    <col min="10" max="10" width="21.28515625" style="2" customWidth="1"/>
    <col min="11" max="11" width="18.85546875" style="2" customWidth="1"/>
    <col min="12" max="12" width="3.140625" style="2" customWidth="1"/>
    <col min="13" max="13" width="23.85546875" style="2" customWidth="1"/>
    <col min="14" max="14" width="24.7109375" style="2" customWidth="1"/>
    <col min="15" max="19" width="14.7109375" style="2" customWidth="1"/>
    <col min="20" max="20" width="2.42578125" style="2" customWidth="1"/>
    <col min="21" max="21" width="45.85546875" style="2" customWidth="1"/>
    <col min="22" max="22" width="3.85546875" style="4" customWidth="1"/>
    <col min="23" max="23" width="0.140625" style="2" hidden="1" customWidth="1"/>
    <col min="24" max="24" width="10.85546875" style="2" hidden="1" customWidth="1"/>
    <col min="25" max="25" width="0.7109375" style="2" hidden="1" customWidth="1"/>
    <col min="26" max="26" width="4.7109375" style="2" hidden="1" customWidth="1"/>
    <col min="27" max="27" width="6.42578125" style="2" hidden="1" customWidth="1"/>
    <col min="28" max="28" width="10.28515625" style="2" hidden="1" customWidth="1"/>
    <col min="29" max="16384" width="8.85546875" style="2"/>
  </cols>
  <sheetData>
    <row r="1" spans="1:28" ht="15" customHeight="1" x14ac:dyDescent="0.2">
      <c r="A1" s="285"/>
      <c r="B1" s="285"/>
      <c r="C1" s="285"/>
      <c r="D1" s="285"/>
      <c r="E1" s="285"/>
      <c r="F1" s="285"/>
      <c r="G1" s="285"/>
      <c r="H1" s="285"/>
      <c r="I1" s="285"/>
      <c r="J1" s="285"/>
      <c r="K1" s="285"/>
      <c r="L1" s="285"/>
      <c r="M1" s="285"/>
      <c r="N1" s="285"/>
      <c r="O1" s="285"/>
      <c r="P1" s="285"/>
      <c r="Q1" s="285"/>
      <c r="R1" s="285"/>
      <c r="S1" s="285"/>
      <c r="T1" s="285"/>
      <c r="U1" s="285"/>
      <c r="V1" s="73"/>
      <c r="W1" s="73"/>
      <c r="X1" s="73"/>
      <c r="Y1" s="73"/>
      <c r="Z1" s="73"/>
      <c r="AA1" s="73"/>
      <c r="AB1" s="73"/>
    </row>
    <row r="2" spans="1:28" ht="20.25" customHeight="1" x14ac:dyDescent="0.2">
      <c r="A2" s="5"/>
      <c r="B2" s="6" t="s">
        <v>336</v>
      </c>
      <c r="C2" s="6"/>
      <c r="D2" s="7"/>
      <c r="E2" s="7"/>
      <c r="F2" s="8"/>
      <c r="G2" s="7"/>
      <c r="H2" s="7"/>
      <c r="I2" s="7"/>
      <c r="J2" s="7"/>
      <c r="K2" s="7"/>
      <c r="L2" s="7"/>
      <c r="M2" s="7"/>
      <c r="N2" s="7"/>
      <c r="O2" s="7"/>
      <c r="P2" s="7"/>
      <c r="Q2" s="7"/>
      <c r="R2" s="7"/>
      <c r="S2" s="7"/>
      <c r="T2" s="7"/>
      <c r="U2" s="7"/>
      <c r="V2" s="73"/>
      <c r="W2" s="73"/>
      <c r="X2" s="73"/>
      <c r="Y2" s="73"/>
      <c r="Z2" s="73"/>
      <c r="AA2" s="73"/>
      <c r="AB2" s="73"/>
    </row>
    <row r="3" spans="1:28" ht="15.75" customHeight="1" x14ac:dyDescent="0.2">
      <c r="A3" s="285"/>
      <c r="B3" s="285"/>
      <c r="C3" s="285"/>
      <c r="D3" s="285"/>
      <c r="E3" s="285"/>
      <c r="F3" s="285"/>
      <c r="G3" s="285"/>
      <c r="H3" s="285"/>
      <c r="I3" s="285"/>
      <c r="J3" s="285"/>
      <c r="K3" s="285"/>
      <c r="L3" s="285"/>
      <c r="M3" s="285"/>
      <c r="N3" s="285"/>
      <c r="O3" s="285"/>
      <c r="P3" s="285"/>
      <c r="Q3" s="285"/>
      <c r="R3" s="285"/>
      <c r="S3" s="285"/>
      <c r="T3" s="285"/>
      <c r="U3" s="285"/>
      <c r="V3" s="73"/>
      <c r="W3" s="73"/>
      <c r="X3" s="73"/>
      <c r="Y3" s="73"/>
      <c r="Z3" s="73"/>
      <c r="AA3" s="73"/>
      <c r="AB3" s="73"/>
    </row>
    <row r="4" spans="1:28" ht="22.5" customHeight="1" x14ac:dyDescent="0.25">
      <c r="A4" s="73"/>
      <c r="B4" s="73"/>
      <c r="C4" s="73"/>
      <c r="D4" s="73"/>
      <c r="E4" s="73"/>
      <c r="F4" s="73"/>
      <c r="G4" s="73"/>
      <c r="H4" s="73"/>
      <c r="I4" s="73"/>
      <c r="J4" s="73"/>
      <c r="K4" s="73"/>
      <c r="L4" s="73"/>
      <c r="M4" s="73"/>
      <c r="N4" s="73"/>
      <c r="O4" s="73"/>
      <c r="P4" s="73"/>
      <c r="Q4" s="73"/>
      <c r="R4" s="73"/>
      <c r="S4" s="73"/>
      <c r="T4" s="73"/>
      <c r="U4" s="73"/>
      <c r="W4" s="73"/>
      <c r="X4" s="73"/>
      <c r="Y4" s="73"/>
      <c r="Z4" s="73"/>
      <c r="AA4" s="73"/>
      <c r="AB4" s="73"/>
    </row>
    <row r="5" spans="1:28" ht="14.45" customHeight="1" x14ac:dyDescent="0.25">
      <c r="A5" s="73"/>
      <c r="B5" s="73" t="s">
        <v>337</v>
      </c>
      <c r="C5" s="73"/>
      <c r="D5" s="73"/>
      <c r="E5" s="110" t="s">
        <v>338</v>
      </c>
      <c r="F5" s="73"/>
      <c r="G5" s="73"/>
      <c r="H5" s="73"/>
      <c r="I5" s="73"/>
      <c r="J5" s="73"/>
      <c r="K5" s="73"/>
      <c r="L5" s="73"/>
      <c r="M5" s="73"/>
      <c r="N5" s="73"/>
      <c r="O5" s="73"/>
      <c r="P5" s="73"/>
      <c r="Q5" s="73"/>
      <c r="R5" s="73"/>
      <c r="S5" s="73"/>
      <c r="T5" s="73"/>
      <c r="U5" s="73"/>
      <c r="W5" s="73"/>
      <c r="X5" s="73"/>
      <c r="Y5" s="73"/>
      <c r="Z5" s="73"/>
      <c r="AA5" s="73"/>
      <c r="AB5" s="73"/>
    </row>
    <row r="6" spans="1:28" ht="15.75" customHeight="1" x14ac:dyDescent="0.25">
      <c r="A6" s="73"/>
      <c r="B6" s="73"/>
      <c r="C6" s="73"/>
      <c r="D6" s="73"/>
      <c r="E6" s="73"/>
      <c r="F6" s="73"/>
      <c r="G6" s="73"/>
      <c r="H6" s="73"/>
      <c r="I6" s="73"/>
      <c r="J6" s="73"/>
      <c r="K6" s="73"/>
      <c r="L6" s="73"/>
      <c r="M6" s="73"/>
      <c r="N6" s="73"/>
      <c r="O6" s="73"/>
      <c r="P6" s="73"/>
      <c r="Q6" s="73"/>
      <c r="R6" s="73"/>
      <c r="S6" s="73"/>
      <c r="T6" s="73"/>
      <c r="U6" s="73"/>
      <c r="W6" s="73"/>
      <c r="X6" s="73"/>
      <c r="Y6" s="73"/>
      <c r="Z6" s="73"/>
      <c r="AA6" s="73"/>
      <c r="AB6" s="73"/>
    </row>
    <row r="7" spans="1:28" ht="15" customHeight="1" x14ac:dyDescent="0.25">
      <c r="A7" s="73"/>
      <c r="B7" s="73" t="s">
        <v>339</v>
      </c>
      <c r="C7" s="73"/>
      <c r="D7" s="73"/>
      <c r="E7" s="110" t="s">
        <v>340</v>
      </c>
      <c r="F7" s="73"/>
      <c r="G7" s="73"/>
      <c r="H7" s="73"/>
      <c r="I7" s="73"/>
      <c r="J7" s="73"/>
      <c r="K7" s="73"/>
      <c r="L7" s="73"/>
      <c r="M7" s="73"/>
      <c r="N7" s="73"/>
      <c r="O7" s="73"/>
      <c r="P7" s="73"/>
      <c r="Q7" s="73"/>
      <c r="R7" s="73"/>
      <c r="S7" s="73"/>
      <c r="T7" s="73"/>
      <c r="U7" s="73"/>
      <c r="W7" s="73"/>
      <c r="X7" s="73"/>
      <c r="Y7" s="73"/>
      <c r="Z7" s="73"/>
      <c r="AA7" s="73"/>
      <c r="AB7" s="73"/>
    </row>
    <row r="8" spans="1:28" ht="22.5" customHeight="1" x14ac:dyDescent="0.25">
      <c r="A8" s="73"/>
      <c r="B8" s="73"/>
      <c r="C8" s="73"/>
      <c r="D8" s="73"/>
      <c r="E8" s="73"/>
      <c r="F8" s="73"/>
      <c r="G8" s="73"/>
      <c r="H8" s="73"/>
      <c r="I8" s="73"/>
      <c r="J8" s="73"/>
      <c r="K8" s="73"/>
      <c r="L8" s="73"/>
      <c r="M8" s="73"/>
      <c r="N8" s="73"/>
      <c r="O8" s="73"/>
      <c r="P8" s="73"/>
      <c r="Q8" s="73"/>
      <c r="R8" s="73"/>
      <c r="S8" s="73"/>
      <c r="T8" s="73"/>
      <c r="U8" s="73"/>
      <c r="W8" s="73"/>
      <c r="X8" s="73"/>
      <c r="Y8" s="73"/>
      <c r="Z8" s="73"/>
      <c r="AA8" s="73"/>
      <c r="AB8" s="73"/>
    </row>
    <row r="9" spans="1:28" ht="30" customHeight="1" x14ac:dyDescent="0.25">
      <c r="A9" s="73"/>
      <c r="B9" s="359" t="s">
        <v>341</v>
      </c>
      <c r="C9" s="359" t="s">
        <v>342</v>
      </c>
      <c r="D9" s="359" t="s">
        <v>343</v>
      </c>
      <c r="E9" s="359" t="s">
        <v>344</v>
      </c>
      <c r="F9" s="359" t="str">
        <f>"Product surface area" &amp; IF(Instructions!$H$10="IP Units", " (sq ft)", IF(Instructions!$H$10="SI Units"," (sq m)"))</f>
        <v>Product surface area (sq ft)</v>
      </c>
      <c r="G9" s="118" t="s">
        <v>345</v>
      </c>
      <c r="H9" s="362" t="s">
        <v>334</v>
      </c>
      <c r="I9" s="363"/>
      <c r="J9" s="363"/>
      <c r="K9" s="364"/>
      <c r="L9" s="121"/>
      <c r="M9" s="353" t="s">
        <v>346</v>
      </c>
      <c r="N9" s="353"/>
      <c r="O9" s="353"/>
      <c r="P9" s="353"/>
      <c r="Q9" s="353"/>
      <c r="R9" s="353"/>
      <c r="S9" s="353"/>
      <c r="T9" s="121"/>
      <c r="U9" s="351" t="s">
        <v>347</v>
      </c>
      <c r="W9" s="358" t="s">
        <v>291</v>
      </c>
      <c r="X9" s="358"/>
      <c r="Y9" s="73"/>
      <c r="Z9" s="352" t="s">
        <v>294</v>
      </c>
      <c r="AA9" s="352"/>
      <c r="AB9" s="352"/>
    </row>
    <row r="10" spans="1:28" ht="24.75" customHeight="1" x14ac:dyDescent="0.25">
      <c r="A10" s="73"/>
      <c r="B10" s="360"/>
      <c r="C10" s="360"/>
      <c r="D10" s="360"/>
      <c r="E10" s="360"/>
      <c r="F10" s="360"/>
      <c r="G10" s="119"/>
      <c r="H10" s="348" t="s">
        <v>348</v>
      </c>
      <c r="I10" s="348" t="s">
        <v>349</v>
      </c>
      <c r="J10" s="348" t="s">
        <v>350</v>
      </c>
      <c r="K10" s="348" t="s">
        <v>351</v>
      </c>
      <c r="L10" s="122"/>
      <c r="M10" s="348" t="s">
        <v>352</v>
      </c>
      <c r="N10" s="348" t="s">
        <v>14</v>
      </c>
      <c r="O10" s="350" t="s">
        <v>353</v>
      </c>
      <c r="P10" s="349" t="s">
        <v>354</v>
      </c>
      <c r="Q10" s="348" t="s">
        <v>355</v>
      </c>
      <c r="R10" s="348"/>
      <c r="S10" s="348"/>
      <c r="T10" s="122"/>
      <c r="U10" s="351"/>
      <c r="W10" s="345" t="s">
        <v>356</v>
      </c>
      <c r="X10" s="345" t="s">
        <v>357</v>
      </c>
      <c r="Y10" s="73"/>
      <c r="Z10" s="347" t="s">
        <v>358</v>
      </c>
      <c r="AA10" s="347" t="s">
        <v>359</v>
      </c>
      <c r="AB10" s="344" t="s">
        <v>360</v>
      </c>
    </row>
    <row r="11" spans="1:28" ht="36" customHeight="1" x14ac:dyDescent="0.25">
      <c r="A11" s="73"/>
      <c r="B11" s="361"/>
      <c r="C11" s="361"/>
      <c r="D11" s="361"/>
      <c r="E11" s="361"/>
      <c r="F11" s="361"/>
      <c r="G11" s="119"/>
      <c r="H11" s="348"/>
      <c r="I11" s="348"/>
      <c r="J11" s="348"/>
      <c r="K11" s="348"/>
      <c r="L11" s="122"/>
      <c r="M11" s="348"/>
      <c r="N11" s="348"/>
      <c r="O11" s="350"/>
      <c r="P11" s="349"/>
      <c r="Q11" s="97" t="s">
        <v>361</v>
      </c>
      <c r="R11" s="98" t="s">
        <v>362</v>
      </c>
      <c r="S11" s="98" t="s">
        <v>363</v>
      </c>
      <c r="T11" s="122"/>
      <c r="U11" s="351"/>
      <c r="W11" s="346"/>
      <c r="X11" s="346"/>
      <c r="Y11" s="73"/>
      <c r="Z11" s="347"/>
      <c r="AA11" s="347"/>
      <c r="AB11" s="344"/>
    </row>
    <row r="12" spans="1:28" s="50" customFormat="1" ht="12" customHeight="1" x14ac:dyDescent="0.25">
      <c r="A12" s="48">
        <f t="shared" ref="A12:A18" si="0">IF(D12&gt;=0,0,0)</f>
        <v>0</v>
      </c>
      <c r="B12" s="83"/>
      <c r="C12" s="83"/>
      <c r="D12" s="99"/>
      <c r="E12" s="99"/>
      <c r="F12" s="99"/>
      <c r="G12" s="119"/>
      <c r="H12" s="89"/>
      <c r="I12" s="89"/>
      <c r="J12" s="314"/>
      <c r="K12" s="314"/>
      <c r="L12" s="122"/>
      <c r="M12" s="127"/>
      <c r="N12" s="84"/>
      <c r="O12" s="85">
        <f t="array" ref="O12">IFERROR(INDEX(Instructions!$H$22:$H$315,MATCH(1,(Instructions!$E$22:$E$315='Paints and coatings'!M12)*(Instructions!$F$22:$F$315='Paints and coatings'!N12),0)),"")</f>
        <v>0</v>
      </c>
      <c r="P12" s="115"/>
      <c r="Q12" s="86"/>
      <c r="R12" s="87" t="str">
        <f t="shared" ref="R12:R23" si="1">IF($E$7="No","n/a",IF(OR(O12="",E12=""),"",E12*O12))</f>
        <v/>
      </c>
      <c r="S12" s="87" t="str">
        <f>IF($E$7="No","n/a",IF(OR(ISBLANK(Q12),O12=""),"",E12*Q12))</f>
        <v/>
      </c>
      <c r="T12" s="122"/>
      <c r="U12" s="89"/>
      <c r="V12" s="49"/>
    </row>
    <row r="13" spans="1:28" s="50" customFormat="1" ht="12" customHeight="1" x14ac:dyDescent="0.25">
      <c r="A13" s="48">
        <f t="shared" si="0"/>
        <v>0</v>
      </c>
      <c r="B13" s="83"/>
      <c r="C13" s="83"/>
      <c r="D13" s="99"/>
      <c r="E13" s="99"/>
      <c r="F13" s="99"/>
      <c r="G13" s="119"/>
      <c r="H13" s="89"/>
      <c r="I13" s="89"/>
      <c r="J13" s="314"/>
      <c r="K13" s="314"/>
      <c r="L13" s="122"/>
      <c r="M13" s="317"/>
      <c r="N13" s="318"/>
      <c r="O13" s="85">
        <f t="array" ref="O13">IFERROR(INDEX(Instructions!$H$22:$H$315,MATCH(1,(Instructions!$E$22:$E$315='Paints and coatings'!M13)*(Instructions!$F$22:$F$315='Paints and coatings'!N13),0)),"")</f>
        <v>0</v>
      </c>
      <c r="P13" s="115"/>
      <c r="Q13" s="86"/>
      <c r="R13" s="87" t="str">
        <f t="shared" si="1"/>
        <v/>
      </c>
      <c r="S13" s="87" t="str">
        <f>IF($E$7="No","n/a",IF(OR(ISBLANK(Q13),O13=""),"",E13*Q13))</f>
        <v/>
      </c>
      <c r="T13" s="122"/>
      <c r="U13" s="89"/>
      <c r="V13" s="49"/>
    </row>
    <row r="14" spans="1:28" s="50" customFormat="1" ht="12" customHeight="1" x14ac:dyDescent="0.25">
      <c r="A14" s="48">
        <f t="shared" si="0"/>
        <v>0</v>
      </c>
      <c r="B14" s="83"/>
      <c r="C14" s="83"/>
      <c r="D14" s="99"/>
      <c r="E14" s="99"/>
      <c r="F14" s="99"/>
      <c r="G14" s="119"/>
      <c r="H14" s="89"/>
      <c r="I14" s="89"/>
      <c r="J14" s="314"/>
      <c r="K14" s="314"/>
      <c r="L14" s="122"/>
      <c r="M14" s="317"/>
      <c r="N14" s="318"/>
      <c r="O14" s="85">
        <f t="array" ref="O14">IFERROR(INDEX(Instructions!$H$22:$H$315,MATCH(1,(Instructions!$E$22:$E$315='Paints and coatings'!M14)*(Instructions!$F$22:$F$315='Paints and coatings'!N14),0)),"")</f>
        <v>0</v>
      </c>
      <c r="P14" s="115"/>
      <c r="Q14" s="86"/>
      <c r="R14" s="87" t="str">
        <f t="shared" si="1"/>
        <v/>
      </c>
      <c r="S14" s="87" t="str">
        <f>IF($E$7="No","n/a",IF(OR(ISBLANK(Q14),O14=""),"",E14*Q14))</f>
        <v/>
      </c>
      <c r="T14" s="122"/>
      <c r="U14" s="89"/>
      <c r="V14" s="49"/>
    </row>
    <row r="15" spans="1:28" s="50" customFormat="1" ht="12" customHeight="1" x14ac:dyDescent="0.25">
      <c r="A15" s="48">
        <f t="shared" si="0"/>
        <v>0</v>
      </c>
      <c r="B15" s="83"/>
      <c r="C15" s="83"/>
      <c r="D15" s="99"/>
      <c r="E15" s="99"/>
      <c r="F15" s="99"/>
      <c r="G15" s="119"/>
      <c r="H15" s="89"/>
      <c r="I15" s="89"/>
      <c r="J15" s="314"/>
      <c r="K15" s="314"/>
      <c r="L15" s="122"/>
      <c r="M15" s="317"/>
      <c r="N15" s="318"/>
      <c r="O15" s="85">
        <f t="array" ref="O15">IFERROR(INDEX(Instructions!$H$22:$H$315,MATCH(1,(Instructions!$E$22:$E$315='Paints and coatings'!M15)*(Instructions!$F$22:$F$315='Paints and coatings'!N15),0)),"")</f>
        <v>0</v>
      </c>
      <c r="P15" s="115"/>
      <c r="Q15" s="86"/>
      <c r="R15" s="87" t="str">
        <f t="shared" si="1"/>
        <v/>
      </c>
      <c r="S15" s="87" t="str">
        <f t="shared" ref="S15:S23" si="2">IF($E$7="No","n/a",IF(OR(ISBLANK(Q15),O15=""),"",E15*Q15))</f>
        <v/>
      </c>
      <c r="T15" s="122"/>
      <c r="U15" s="89"/>
      <c r="V15" s="49"/>
    </row>
    <row r="16" spans="1:28" s="50" customFormat="1" ht="12" customHeight="1" x14ac:dyDescent="0.25">
      <c r="A16" s="48">
        <f t="shared" si="0"/>
        <v>0</v>
      </c>
      <c r="B16" s="83"/>
      <c r="C16" s="83"/>
      <c r="D16" s="99"/>
      <c r="E16" s="99"/>
      <c r="F16" s="99"/>
      <c r="G16" s="119"/>
      <c r="H16" s="89"/>
      <c r="I16" s="89"/>
      <c r="J16" s="314"/>
      <c r="K16" s="314"/>
      <c r="L16" s="122"/>
      <c r="M16" s="317"/>
      <c r="N16" s="318"/>
      <c r="O16" s="85">
        <f t="array" ref="O16">IFERROR(INDEX(Instructions!$H$22:$H$315,MATCH(1,(Instructions!$E$22:$E$315='Paints and coatings'!M16)*(Instructions!$F$22:$F$315='Paints and coatings'!N16),0)),"")</f>
        <v>0</v>
      </c>
      <c r="P16" s="115"/>
      <c r="Q16" s="86"/>
      <c r="R16" s="87" t="str">
        <f t="shared" si="1"/>
        <v/>
      </c>
      <c r="S16" s="87" t="str">
        <f t="shared" si="2"/>
        <v/>
      </c>
      <c r="T16" s="122"/>
      <c r="U16" s="89"/>
      <c r="V16" s="49"/>
    </row>
    <row r="17" spans="1:35" s="50" customFormat="1" ht="12" customHeight="1" x14ac:dyDescent="0.25">
      <c r="A17" s="48">
        <f t="shared" si="0"/>
        <v>0</v>
      </c>
      <c r="B17" s="83"/>
      <c r="C17" s="83"/>
      <c r="D17" s="99"/>
      <c r="E17" s="99"/>
      <c r="F17" s="99"/>
      <c r="G17" s="119"/>
      <c r="H17" s="89"/>
      <c r="I17" s="89"/>
      <c r="J17" s="314"/>
      <c r="K17" s="314"/>
      <c r="L17" s="122"/>
      <c r="M17" s="317"/>
      <c r="N17" s="318"/>
      <c r="O17" s="85">
        <f t="array" ref="O17">IFERROR(INDEX(Instructions!$H$22:$H$315,MATCH(1,(Instructions!$E$22:$E$315='Paints and coatings'!M17)*(Instructions!$F$22:$F$315='Paints and coatings'!N17),0)),"")</f>
        <v>0</v>
      </c>
      <c r="P17" s="115"/>
      <c r="Q17" s="86"/>
      <c r="R17" s="87" t="str">
        <f t="shared" si="1"/>
        <v/>
      </c>
      <c r="S17" s="87" t="str">
        <f t="shared" si="2"/>
        <v/>
      </c>
      <c r="T17" s="122"/>
      <c r="U17" s="89"/>
      <c r="V17" s="49"/>
    </row>
    <row r="18" spans="1:35" s="50" customFormat="1" ht="12" customHeight="1" x14ac:dyDescent="0.25">
      <c r="A18" s="48">
        <f t="shared" si="0"/>
        <v>0</v>
      </c>
      <c r="B18" s="83"/>
      <c r="C18" s="83"/>
      <c r="D18" s="99"/>
      <c r="E18" s="99"/>
      <c r="F18" s="99"/>
      <c r="G18" s="119"/>
      <c r="H18" s="89"/>
      <c r="I18" s="89"/>
      <c r="J18" s="314"/>
      <c r="K18" s="314"/>
      <c r="L18" s="122"/>
      <c r="M18" s="317"/>
      <c r="N18" s="318"/>
      <c r="O18" s="85">
        <f t="array" ref="O18">IFERROR(INDEX(Instructions!$H$22:$H$315,MATCH(1,(Instructions!$E$22:$E$315='Paints and coatings'!M18)*(Instructions!$F$22:$F$315='Paints and coatings'!N18),0)),"")</f>
        <v>0</v>
      </c>
      <c r="P18" s="115"/>
      <c r="Q18" s="86"/>
      <c r="R18" s="87" t="str">
        <f t="shared" si="1"/>
        <v/>
      </c>
      <c r="S18" s="87" t="str">
        <f t="shared" si="2"/>
        <v/>
      </c>
      <c r="T18" s="122"/>
      <c r="U18" s="89"/>
      <c r="V18" s="49"/>
    </row>
    <row r="19" spans="1:35" s="50" customFormat="1" ht="12" customHeight="1" x14ac:dyDescent="0.25">
      <c r="A19" s="48">
        <f t="shared" ref="A19:A20" si="3">IF(D19&gt;=0,0,0)</f>
        <v>0</v>
      </c>
      <c r="B19" s="83"/>
      <c r="C19" s="83"/>
      <c r="D19" s="99"/>
      <c r="E19" s="99"/>
      <c r="F19" s="99"/>
      <c r="G19" s="119"/>
      <c r="H19" s="89"/>
      <c r="I19" s="89"/>
      <c r="J19" s="314"/>
      <c r="K19" s="314"/>
      <c r="L19" s="122"/>
      <c r="M19" s="317"/>
      <c r="N19" s="318"/>
      <c r="O19" s="85">
        <f t="array" ref="O19">IFERROR(INDEX(Instructions!$H$22:$H$315,MATCH(1,(Instructions!$E$22:$E$315='Paints and coatings'!M19)*(Instructions!$F$22:$F$315='Paints and coatings'!N19),0)),"")</f>
        <v>0</v>
      </c>
      <c r="P19" s="115"/>
      <c r="Q19" s="86"/>
      <c r="R19" s="87" t="str">
        <f t="shared" si="1"/>
        <v/>
      </c>
      <c r="S19" s="87" t="str">
        <f t="shared" si="2"/>
        <v/>
      </c>
      <c r="T19" s="122"/>
      <c r="U19" s="89"/>
      <c r="V19" s="49"/>
    </row>
    <row r="20" spans="1:35" s="50" customFormat="1" ht="12" customHeight="1" x14ac:dyDescent="0.25">
      <c r="A20" s="48">
        <f t="shared" si="3"/>
        <v>0</v>
      </c>
      <c r="B20" s="83"/>
      <c r="C20" s="83"/>
      <c r="D20" s="99"/>
      <c r="E20" s="99"/>
      <c r="F20" s="99"/>
      <c r="G20" s="119"/>
      <c r="H20" s="89"/>
      <c r="I20" s="89"/>
      <c r="J20" s="314"/>
      <c r="K20" s="314"/>
      <c r="L20" s="122"/>
      <c r="M20" s="317"/>
      <c r="N20" s="318"/>
      <c r="O20" s="85">
        <f t="array" ref="O20">IFERROR(INDEX(Instructions!$H$22:$H$315,MATCH(1,(Instructions!$E$22:$E$315='Paints and coatings'!M20)*(Instructions!$F$22:$F$315='Paints and coatings'!N20),0)),"")</f>
        <v>0</v>
      </c>
      <c r="P20" s="115"/>
      <c r="Q20" s="86"/>
      <c r="R20" s="87" t="str">
        <f t="shared" si="1"/>
        <v/>
      </c>
      <c r="S20" s="87" t="str">
        <f t="shared" si="2"/>
        <v/>
      </c>
      <c r="T20" s="122"/>
      <c r="U20" s="89"/>
      <c r="V20" s="49"/>
    </row>
    <row r="21" spans="1:35" s="50" customFormat="1" ht="12" customHeight="1" x14ac:dyDescent="0.25">
      <c r="A21" s="48">
        <f t="shared" ref="A21" si="4">IF(D21&gt;=0,0,0)</f>
        <v>0</v>
      </c>
      <c r="B21" s="83"/>
      <c r="C21" s="83"/>
      <c r="D21" s="99"/>
      <c r="E21" s="99"/>
      <c r="F21" s="99"/>
      <c r="G21" s="119"/>
      <c r="H21" s="89"/>
      <c r="I21" s="89"/>
      <c r="J21" s="314"/>
      <c r="K21" s="314"/>
      <c r="L21" s="122"/>
      <c r="M21" s="317"/>
      <c r="N21" s="318"/>
      <c r="O21" s="85">
        <f t="array" ref="O21">IFERROR(INDEX(Instructions!$H$22:$H$315,MATCH(1,(Instructions!$E$22:$E$315='Paints and coatings'!M21)*(Instructions!$F$22:$F$315='Paints and coatings'!N21),0)),"")</f>
        <v>0</v>
      </c>
      <c r="P21" s="115"/>
      <c r="Q21" s="86"/>
      <c r="R21" s="87" t="str">
        <f t="shared" ref="R21" si="5">IF($E$7="No","n/a",IF(OR(O21="",E21=""),"",E21*O21))</f>
        <v/>
      </c>
      <c r="S21" s="87" t="str">
        <f t="shared" ref="S21" si="6">IF($E$7="No","n/a",IF(OR(ISBLANK(Q21),O21=""),"",E21*Q21))</f>
        <v/>
      </c>
      <c r="T21" s="122"/>
      <c r="U21" s="89"/>
      <c r="V21" s="49"/>
    </row>
    <row r="22" spans="1:35" s="50" customFormat="1" ht="12" customHeight="1" x14ac:dyDescent="0.25">
      <c r="A22" s="48"/>
      <c r="B22" s="83"/>
      <c r="C22" s="83"/>
      <c r="D22" s="99"/>
      <c r="E22" s="99"/>
      <c r="F22" s="99"/>
      <c r="G22" s="119"/>
      <c r="H22" s="89"/>
      <c r="I22" s="89"/>
      <c r="J22" s="314"/>
      <c r="K22" s="314"/>
      <c r="L22" s="122"/>
      <c r="M22" s="317"/>
      <c r="N22" s="318"/>
      <c r="O22" s="85">
        <f t="array" ref="O22">IFERROR(INDEX(Instructions!$H$22:$H$315,MATCH(1,(Instructions!$E$22:$E$315='Paints and coatings'!M22)*(Instructions!$F$22:$F$315='Paints and coatings'!N22),0)),"")</f>
        <v>0</v>
      </c>
      <c r="P22" s="115"/>
      <c r="Q22" s="86"/>
      <c r="R22" s="87" t="str">
        <f t="shared" si="1"/>
        <v/>
      </c>
      <c r="S22" s="87" t="str">
        <f t="shared" si="2"/>
        <v/>
      </c>
      <c r="T22" s="122"/>
      <c r="U22" s="89"/>
      <c r="V22" s="49"/>
    </row>
    <row r="23" spans="1:35" s="50" customFormat="1" ht="12" customHeight="1" x14ac:dyDescent="0.25">
      <c r="A23" s="48"/>
      <c r="B23" s="83"/>
      <c r="C23" s="83"/>
      <c r="D23" s="99"/>
      <c r="E23" s="99"/>
      <c r="F23" s="99"/>
      <c r="G23" s="119"/>
      <c r="H23" s="89"/>
      <c r="I23" s="89"/>
      <c r="J23" s="314"/>
      <c r="K23" s="314"/>
      <c r="L23" s="122"/>
      <c r="M23" s="317"/>
      <c r="N23" s="318"/>
      <c r="O23" s="85">
        <f t="array" ref="O23">IFERROR(INDEX(Instructions!$H$22:$H$315,MATCH(1,(Instructions!$E$22:$E$315='Paints and coatings'!M23)*(Instructions!$F$22:$F$315='Paints and coatings'!N23),0)),"")</f>
        <v>0</v>
      </c>
      <c r="P23" s="115"/>
      <c r="Q23" s="86"/>
      <c r="R23" s="87" t="str">
        <f t="shared" si="1"/>
        <v/>
      </c>
      <c r="S23" s="87" t="str">
        <f t="shared" si="2"/>
        <v/>
      </c>
      <c r="T23" s="122"/>
      <c r="U23" s="89"/>
      <c r="V23" s="49"/>
    </row>
    <row r="24" spans="1:35" s="3" customFormat="1" ht="21" customHeight="1" x14ac:dyDescent="0.25">
      <c r="A24" s="43" t="s">
        <v>371</v>
      </c>
      <c r="B24" s="90"/>
      <c r="C24" s="90"/>
      <c r="D24" s="91"/>
      <c r="E24" s="91"/>
      <c r="F24" s="91"/>
      <c r="G24" s="120"/>
      <c r="H24" s="286"/>
      <c r="I24" s="311"/>
      <c r="J24" s="311"/>
      <c r="K24" s="311"/>
      <c r="L24" s="123"/>
      <c r="M24" s="354"/>
      <c r="N24" s="354"/>
      <c r="O24" s="354"/>
      <c r="P24" s="354"/>
      <c r="Q24" s="354"/>
      <c r="R24" s="354"/>
      <c r="S24" s="354"/>
      <c r="T24" s="123"/>
      <c r="U24" s="93"/>
      <c r="V24" s="4"/>
      <c r="W24" s="287"/>
      <c r="X24" s="287"/>
      <c r="Y24" s="287"/>
      <c r="Z24" s="287"/>
      <c r="AA24" s="287"/>
      <c r="AB24" s="287"/>
      <c r="AC24" s="287"/>
      <c r="AD24" s="287"/>
      <c r="AE24" s="287"/>
      <c r="AF24" s="287"/>
      <c r="AG24" s="287"/>
      <c r="AH24" s="287"/>
      <c r="AI24" s="287"/>
    </row>
    <row r="25" spans="1:35" s="3" customFormat="1" ht="30.75" customHeight="1" x14ac:dyDescent="0.25">
      <c r="A25" s="43"/>
      <c r="B25" s="74"/>
      <c r="C25" s="74"/>
      <c r="D25" s="17"/>
      <c r="E25" s="17"/>
      <c r="F25" s="17"/>
      <c r="G25" s="75"/>
      <c r="H25" s="287"/>
      <c r="I25" s="287"/>
      <c r="J25" s="287"/>
      <c r="K25" s="287"/>
      <c r="L25" s="75"/>
      <c r="M25" s="76"/>
      <c r="N25" s="76"/>
      <c r="O25" s="76"/>
      <c r="P25" s="76"/>
      <c r="Q25" s="351" t="s">
        <v>372</v>
      </c>
      <c r="R25" s="351"/>
      <c r="S25" s="94">
        <f>IF($E$7="No",0,SUM($R$12:$R$23))</f>
        <v>0</v>
      </c>
      <c r="T25" s="77"/>
      <c r="U25" s="1"/>
      <c r="V25" s="4"/>
      <c r="W25" s="287"/>
      <c r="X25" s="287"/>
      <c r="Y25" s="287"/>
      <c r="Z25" s="287"/>
      <c r="AA25" s="287"/>
      <c r="AB25" s="287"/>
      <c r="AC25" s="287"/>
      <c r="AD25" s="287"/>
      <c r="AE25" s="287"/>
      <c r="AF25" s="287"/>
      <c r="AG25" s="287"/>
      <c r="AH25" s="287"/>
      <c r="AI25" s="287"/>
    </row>
    <row r="26" spans="1:35" s="3" customFormat="1" ht="27.75" customHeight="1" x14ac:dyDescent="0.25">
      <c r="A26" s="43"/>
      <c r="B26" s="355" t="s">
        <v>373</v>
      </c>
      <c r="C26" s="356"/>
      <c r="D26" s="356"/>
      <c r="E26" s="357"/>
      <c r="F26" s="96">
        <f>IF(AND($E$5="surface area", $E$7="No"),"n/a",SUM(E12:E23))</f>
        <v>0</v>
      </c>
      <c r="G26" s="77"/>
      <c r="H26" s="287"/>
      <c r="I26" s="287"/>
      <c r="J26" s="287"/>
      <c r="K26" s="287"/>
      <c r="L26" s="75"/>
      <c r="M26" s="76"/>
      <c r="N26" s="76"/>
      <c r="O26" s="76"/>
      <c r="P26" s="76"/>
      <c r="Q26" s="351" t="s">
        <v>374</v>
      </c>
      <c r="R26" s="351"/>
      <c r="S26" s="94">
        <f>IF($E$7="No",0,SUM($S$12:$S$23))</f>
        <v>0</v>
      </c>
      <c r="T26" s="77"/>
      <c r="U26" s="1"/>
      <c r="V26" s="4"/>
      <c r="W26" s="287"/>
      <c r="X26" s="287"/>
      <c r="Y26" s="287"/>
      <c r="Z26" s="287"/>
      <c r="AA26" s="287"/>
      <c r="AB26" s="287"/>
      <c r="AC26" s="287"/>
      <c r="AD26" s="287"/>
      <c r="AE26" s="287"/>
      <c r="AF26" s="287"/>
      <c r="AG26" s="287"/>
      <c r="AH26" s="287"/>
      <c r="AI26" s="287"/>
    </row>
    <row r="27" spans="1:35" s="3" customFormat="1" ht="30" customHeight="1" x14ac:dyDescent="0.25">
      <c r="A27" s="43"/>
      <c r="B27" s="91" t="s">
        <v>375</v>
      </c>
      <c r="C27" s="91"/>
      <c r="D27" s="91"/>
      <c r="E27" s="91"/>
      <c r="F27" s="96" cm="1">
        <f t="array" ref="F27">IF(($E$5="surface area"),"n/a",SUMPRODUCT(E12:E23,_xlfn.XLOOKUP(H12:H23,reportingTypeOptionsList,reportingTypeCompliantList,0)))</f>
        <v>0</v>
      </c>
      <c r="G27" s="77"/>
      <c r="H27" s="287"/>
      <c r="I27" s="287"/>
      <c r="J27" s="287"/>
      <c r="K27" s="287"/>
      <c r="L27" s="75"/>
      <c r="M27" s="76"/>
      <c r="N27" s="76"/>
      <c r="O27" s="76"/>
      <c r="P27" s="76"/>
      <c r="Q27" s="351" t="s">
        <v>376</v>
      </c>
      <c r="R27" s="351"/>
      <c r="S27" s="95" t="str">
        <f>IF($E$7="No","n/a",IF(S26&lt;=S25,"Yes","No"))</f>
        <v>Yes</v>
      </c>
      <c r="T27" s="77"/>
      <c r="U27" s="1"/>
      <c r="V27" s="4"/>
      <c r="W27" s="287"/>
      <c r="X27" s="287"/>
      <c r="Y27" s="287"/>
      <c r="Z27" s="287"/>
      <c r="AA27" s="287"/>
      <c r="AB27" s="287"/>
      <c r="AC27" s="287"/>
      <c r="AD27" s="287"/>
      <c r="AE27" s="287"/>
      <c r="AF27" s="287"/>
      <c r="AG27" s="287"/>
      <c r="AH27" s="287"/>
      <c r="AI27" s="287"/>
    </row>
    <row r="28" spans="1:35" s="3" customFormat="1" ht="30" customHeight="1" x14ac:dyDescent="0.25">
      <c r="A28" s="43"/>
      <c r="B28" s="91" t="s">
        <v>377</v>
      </c>
      <c r="C28" s="91"/>
      <c r="D28" s="91"/>
      <c r="E28" s="91"/>
      <c r="F28" s="141">
        <f>IF(($E$5="surface area"),("n/a"), IFERROR($F27/$F26,0))</f>
        <v>0</v>
      </c>
      <c r="G28" s="77"/>
      <c r="H28" s="287"/>
      <c r="I28" s="287"/>
      <c r="J28" s="287"/>
      <c r="K28" s="287"/>
      <c r="L28" s="75"/>
      <c r="M28" s="76"/>
      <c r="N28" s="76"/>
      <c r="O28" s="76"/>
      <c r="P28" s="76"/>
      <c r="Q28" s="78"/>
      <c r="R28" s="78"/>
      <c r="S28"/>
      <c r="T28"/>
      <c r="U28"/>
      <c r="V28" s="4"/>
      <c r="W28" s="287"/>
      <c r="X28" s="287"/>
      <c r="Y28" s="287"/>
      <c r="Z28" s="287"/>
      <c r="AA28" s="287"/>
      <c r="AB28" s="287"/>
      <c r="AC28" s="287"/>
      <c r="AD28" s="287"/>
      <c r="AE28" s="287"/>
      <c r="AF28" s="287"/>
      <c r="AG28" s="287"/>
      <c r="AH28" s="287"/>
      <c r="AI28" s="287"/>
    </row>
    <row r="29" spans="1:35" s="3" customFormat="1" ht="27" customHeight="1" x14ac:dyDescent="0.25">
      <c r="A29" s="43"/>
      <c r="B29" s="355" t="s">
        <v>378</v>
      </c>
      <c r="C29" s="356"/>
      <c r="D29" s="356"/>
      <c r="E29" s="357"/>
      <c r="F29" s="101">
        <f>IF($E$5="surface area","n/a", IF(AND($E$5="volume", $E$7="No"),(SUMIFS(E12:E23,M12:M23,"&lt;&gt;Does not meet criteria",M12:M23,"&lt;&gt;", N12:N23,"&lt;&gt;", O12:O23,"&lt;&gt;", P12:P23, "Yes")), IF(AND($E$7="Yes", $S$27="Yes"),SUMIFS(E12:E23,M12:M23,"&lt;&gt;Does not meet criteria",M12:M23,"&lt;&gt;", N12:N23,"&lt;&gt;", O12:O23,"&lt;&gt;"),0)))</f>
        <v>0</v>
      </c>
      <c r="G29" s="77"/>
      <c r="H29" s="287"/>
      <c r="I29" s="287"/>
      <c r="J29" s="287"/>
      <c r="K29" s="287"/>
      <c r="L29" s="75"/>
      <c r="M29" s="76"/>
      <c r="N29" s="76"/>
      <c r="O29" s="76"/>
      <c r="P29" s="76"/>
      <c r="Q29" s="76"/>
      <c r="R29" s="76"/>
      <c r="S29"/>
      <c r="T29"/>
      <c r="U29"/>
      <c r="V29" s="4"/>
      <c r="W29" s="287"/>
      <c r="X29" s="287"/>
      <c r="Y29" s="287"/>
      <c r="Z29" s="287"/>
      <c r="AA29" s="287"/>
      <c r="AB29" s="287"/>
      <c r="AC29" s="287"/>
      <c r="AD29" s="287"/>
      <c r="AE29" s="287"/>
      <c r="AF29" s="287"/>
      <c r="AG29" s="287"/>
      <c r="AH29" s="287"/>
      <c r="AI29" s="287"/>
    </row>
    <row r="30" spans="1:35" s="3" customFormat="1" ht="24" customHeight="1" x14ac:dyDescent="0.25">
      <c r="A30" s="43"/>
      <c r="B30" s="355" t="s">
        <v>379</v>
      </c>
      <c r="C30" s="356"/>
      <c r="D30" s="356"/>
      <c r="E30" s="357"/>
      <c r="F30" s="141">
        <f>IF($E$5="surface area",("n/a"),IFERROR($F29/$F26,0))</f>
        <v>0</v>
      </c>
      <c r="G30" s="77"/>
      <c r="H30" s="287"/>
      <c r="I30" s="287"/>
      <c r="J30" s="287"/>
      <c r="K30" s="287"/>
      <c r="L30" s="75"/>
      <c r="M30" s="76"/>
      <c r="N30" s="76"/>
      <c r="O30" s="76"/>
      <c r="P30" s="76"/>
      <c r="Q30" s="76"/>
      <c r="R30" s="76"/>
      <c r="S30"/>
      <c r="T30"/>
      <c r="U30"/>
      <c r="V30" s="4"/>
      <c r="W30" s="287"/>
      <c r="X30" s="287"/>
      <c r="Y30" s="287"/>
      <c r="Z30" s="287"/>
      <c r="AA30" s="287"/>
      <c r="AB30" s="287"/>
      <c r="AC30" s="287"/>
      <c r="AD30" s="287"/>
      <c r="AE30" s="287"/>
      <c r="AF30" s="287"/>
      <c r="AG30" s="287"/>
      <c r="AH30" s="287"/>
      <c r="AI30" s="287"/>
    </row>
    <row r="31" spans="1:35" s="3" customFormat="1" ht="21" customHeight="1" x14ac:dyDescent="0.25">
      <c r="A31" s="43"/>
      <c r="B31" s="82"/>
      <c r="C31" s="82"/>
      <c r="D31" s="82"/>
      <c r="E31" s="82"/>
      <c r="F31" s="17"/>
      <c r="G31" s="77"/>
      <c r="H31" s="287"/>
      <c r="I31" s="287"/>
      <c r="J31" s="287"/>
      <c r="K31" s="287"/>
      <c r="L31" s="75"/>
      <c r="M31" s="76"/>
      <c r="N31" s="76"/>
      <c r="O31" s="76"/>
      <c r="P31" s="76"/>
      <c r="Q31" s="76"/>
      <c r="R31" s="76"/>
      <c r="S31"/>
      <c r="T31"/>
      <c r="U31"/>
      <c r="V31" s="4"/>
      <c r="W31" s="287"/>
      <c r="X31" s="287"/>
      <c r="Y31" s="287"/>
      <c r="Z31" s="287"/>
      <c r="AA31" s="287"/>
      <c r="AB31" s="287"/>
      <c r="AC31" s="287"/>
      <c r="AD31" s="287"/>
      <c r="AE31" s="287"/>
      <c r="AF31" s="287"/>
      <c r="AG31" s="287"/>
      <c r="AH31" s="287"/>
      <c r="AI31" s="287"/>
    </row>
    <row r="32" spans="1:35" s="3" customFormat="1" ht="22.5" customHeight="1" x14ac:dyDescent="0.25">
      <c r="A32" s="43"/>
      <c r="B32" s="355" t="str">
        <f>"Total surface area of paints and coatings" &amp; IF(Instructions!$H$10="IP Units", " (sq ft)", IF(Instructions!$H$10="SI Units"," (sq m)"))</f>
        <v>Total surface area of paints and coatings (sq ft)</v>
      </c>
      <c r="C32" s="356"/>
      <c r="D32" s="356"/>
      <c r="E32" s="357"/>
      <c r="F32" s="96" t="str">
        <f>IF(($E$5="volume"),"n/a",SUM(F12:F23))</f>
        <v>n/a</v>
      </c>
      <c r="G32" s="77"/>
      <c r="H32" s="287"/>
      <c r="I32" s="287"/>
      <c r="J32" s="287"/>
      <c r="K32" s="287"/>
      <c r="L32" s="75"/>
      <c r="M32" s="76"/>
      <c r="N32" s="76"/>
      <c r="O32" s="76"/>
      <c r="P32" s="76"/>
      <c r="Q32" s="76"/>
      <c r="R32" s="76"/>
      <c r="S32"/>
      <c r="T32"/>
      <c r="U32"/>
      <c r="V32" s="4"/>
      <c r="W32" s="287"/>
      <c r="X32" s="287"/>
      <c r="Y32" s="287"/>
      <c r="Z32" s="287"/>
      <c r="AA32" s="287"/>
      <c r="AB32" s="287"/>
      <c r="AC32" s="287"/>
      <c r="AD32" s="287"/>
      <c r="AE32" s="287"/>
      <c r="AF32" s="287"/>
      <c r="AG32" s="287"/>
      <c r="AH32" s="287"/>
      <c r="AI32" s="287"/>
    </row>
    <row r="33" spans="1:35" s="3" customFormat="1" ht="21" customHeight="1" x14ac:dyDescent="0.25">
      <c r="A33" s="43"/>
      <c r="B33" s="91" t="str">
        <f>"Surface area of paints and coatings compliant with VOC emissions evaluation" &amp; IF(Instructions!$H$10="IP Units", " (sq ft)", IF(Instructions!$H$10="SI Units"," (sq m)"))</f>
        <v>Surface area of paints and coatings compliant with VOC emissions evaluation (sq ft)</v>
      </c>
      <c r="C33" s="91"/>
      <c r="D33" s="91"/>
      <c r="E33" s="91"/>
      <c r="F33" s="96" t="str" cm="1">
        <f t="array" ref="F33">IF($E$5="volume","n/a",SUMPRODUCT(F12:F23,_xlfn.XLOOKUP(H12:H23,reportingTypeOptionsList,reportingTypeCompliantList,0)))</f>
        <v>n/a</v>
      </c>
      <c r="G33" s="77"/>
      <c r="H33" s="287"/>
      <c r="I33" s="287"/>
      <c r="J33" s="287"/>
      <c r="K33" s="287"/>
      <c r="L33" s="75"/>
      <c r="M33" s="76"/>
      <c r="N33" s="76"/>
      <c r="O33" s="76"/>
      <c r="P33" s="76"/>
      <c r="Q33" s="76"/>
      <c r="R33" s="76"/>
      <c r="S33"/>
      <c r="T33"/>
      <c r="U33"/>
      <c r="V33" s="4"/>
      <c r="W33" s="287"/>
      <c r="X33" s="287"/>
      <c r="Y33" s="287"/>
      <c r="Z33" s="287"/>
      <c r="AA33" s="287"/>
      <c r="AB33" s="287"/>
      <c r="AC33" s="287"/>
      <c r="AD33" s="287"/>
      <c r="AE33" s="287"/>
      <c r="AF33" s="287"/>
      <c r="AG33" s="287"/>
      <c r="AH33" s="287"/>
      <c r="AI33" s="287"/>
    </row>
    <row r="34" spans="1:35" s="3" customFormat="1" ht="21" customHeight="1" x14ac:dyDescent="0.25">
      <c r="A34" s="43"/>
      <c r="B34" s="91" t="s">
        <v>380</v>
      </c>
      <c r="C34" s="91"/>
      <c r="D34" s="91"/>
      <c r="E34" s="91"/>
      <c r="F34" s="141" t="str">
        <f>IF(($E$5="volume"),("n/a"), IFERROR($F33/$F32,0))</f>
        <v>n/a</v>
      </c>
      <c r="G34" s="77"/>
      <c r="H34" s="287"/>
      <c r="I34" s="287"/>
      <c r="J34" s="287"/>
      <c r="K34" s="287"/>
      <c r="L34" s="75"/>
      <c r="M34" s="76"/>
      <c r="N34" s="76"/>
      <c r="O34" s="76"/>
      <c r="P34" s="76"/>
      <c r="Q34" s="76"/>
      <c r="R34" s="76"/>
      <c r="S34"/>
      <c r="T34"/>
      <c r="U34"/>
      <c r="V34" s="4"/>
      <c r="W34" s="287"/>
      <c r="X34" s="287"/>
      <c r="Y34" s="287"/>
      <c r="Z34" s="287"/>
      <c r="AA34" s="287"/>
      <c r="AB34" s="287"/>
      <c r="AC34" s="287"/>
      <c r="AD34" s="287"/>
      <c r="AE34" s="287"/>
      <c r="AF34" s="287"/>
      <c r="AG34" s="287"/>
      <c r="AH34" s="287"/>
      <c r="AI34" s="287"/>
    </row>
    <row r="35" spans="1:35" s="3" customFormat="1" ht="21" customHeight="1" x14ac:dyDescent="0.25">
      <c r="A35" s="43"/>
      <c r="B35" s="91" t="str">
        <f>"Surface area of paints and coatings compliant with VOC content evaluation" &amp; IF(Instructions!$H$10="IP Units", " (sq ft)", IF(Instructions!$H$10="SI Units"," (sq m)"))</f>
        <v>Surface area of paints and coatings compliant with VOC content evaluation (sq ft)</v>
      </c>
      <c r="C35" s="91"/>
      <c r="D35" s="91"/>
      <c r="E35" s="91"/>
      <c r="F35" s="96" t="str">
        <f>IF($E$5="volume","n/a", IF(AND($E$5="surface area", $E$7="No"),(SUMIFS(F12:F23,M12:M23,"&lt;&gt;Does not meet criteria",M12:M23,"&lt;&gt;", N12:N23,"&lt;&gt;", O12:O23,"&lt;&gt;", P12:P23, "Yes")), IF(AND($E$7="Yes", $S$27="Yes"),SUMIFS(F12:F23,M12:M23,"&lt;&gt;Does not meet criteria",M12:M23,"&lt;&gt;", N12:N23,"&lt;&gt;", O12:O23,"&lt;&gt;"),0)))</f>
        <v>n/a</v>
      </c>
      <c r="G35" s="77"/>
      <c r="H35" s="287"/>
      <c r="I35" s="287"/>
      <c r="J35" s="287"/>
      <c r="K35" s="287"/>
      <c r="L35" s="75"/>
      <c r="M35" s="76"/>
      <c r="N35" s="76"/>
      <c r="O35" s="76"/>
      <c r="P35" s="76"/>
      <c r="Q35" s="76"/>
      <c r="R35" s="76"/>
      <c r="S35"/>
      <c r="T35"/>
      <c r="U35"/>
      <c r="V35" s="4"/>
      <c r="W35" s="287"/>
      <c r="X35" s="287"/>
      <c r="Y35" s="287"/>
      <c r="Z35" s="287"/>
      <c r="AA35" s="287"/>
      <c r="AB35" s="287"/>
      <c r="AC35" s="287"/>
      <c r="AD35" s="287"/>
      <c r="AE35" s="287"/>
      <c r="AF35" s="287"/>
      <c r="AG35" s="287"/>
      <c r="AH35" s="287"/>
      <c r="AI35" s="287"/>
    </row>
    <row r="36" spans="1:35" s="3" customFormat="1" ht="21" customHeight="1" x14ac:dyDescent="0.25">
      <c r="A36" s="43"/>
      <c r="B36" s="355" t="s">
        <v>381</v>
      </c>
      <c r="C36" s="356"/>
      <c r="D36" s="356"/>
      <c r="E36" s="357"/>
      <c r="F36" s="141" t="str">
        <f>IF(($E$5="volume"),("n/a"),IFERROR($F35/$F32,0))</f>
        <v>n/a</v>
      </c>
      <c r="G36" s="77"/>
      <c r="H36" s="287"/>
      <c r="I36" s="287"/>
      <c r="J36" s="287"/>
      <c r="K36" s="287"/>
      <c r="L36" s="75"/>
      <c r="M36" s="76"/>
      <c r="N36" s="76"/>
      <c r="O36" s="76"/>
      <c r="P36" s="76"/>
      <c r="Q36" s="76"/>
      <c r="R36" s="76"/>
      <c r="S36"/>
      <c r="T36"/>
      <c r="U36"/>
      <c r="V36" s="4"/>
      <c r="W36" s="287"/>
      <c r="X36" s="287"/>
      <c r="Y36" s="287"/>
      <c r="Z36" s="287"/>
      <c r="AA36" s="287"/>
      <c r="AB36" s="287"/>
      <c r="AC36" s="287"/>
      <c r="AD36" s="287"/>
      <c r="AE36" s="287"/>
      <c r="AF36" s="287"/>
      <c r="AG36" s="287"/>
      <c r="AH36" s="287"/>
      <c r="AI36" s="287"/>
    </row>
    <row r="37" spans="1:35" s="3" customFormat="1" ht="21" customHeight="1" x14ac:dyDescent="0.25">
      <c r="A37" s="43"/>
      <c r="B37" s="17"/>
      <c r="C37" s="17"/>
      <c r="D37" s="17"/>
      <c r="E37" s="17"/>
      <c r="F37" s="17"/>
      <c r="G37" s="77"/>
      <c r="H37" s="287"/>
      <c r="I37" s="287"/>
      <c r="J37" s="287"/>
      <c r="K37" s="287"/>
      <c r="L37" s="75"/>
      <c r="M37" s="76"/>
      <c r="N37" s="76"/>
      <c r="O37" s="76"/>
      <c r="P37" s="76"/>
      <c r="Q37" s="76"/>
      <c r="R37" s="76"/>
      <c r="S37"/>
      <c r="T37"/>
      <c r="U37"/>
      <c r="V37" s="4"/>
      <c r="W37" s="287"/>
      <c r="X37" s="287"/>
      <c r="Y37" s="287"/>
      <c r="Z37" s="287"/>
      <c r="AA37" s="287"/>
      <c r="AB37" s="287"/>
      <c r="AC37" s="287"/>
      <c r="AD37" s="287"/>
      <c r="AE37" s="287"/>
      <c r="AF37" s="287"/>
      <c r="AG37" s="287"/>
      <c r="AH37" s="287"/>
      <c r="AI37" s="287"/>
    </row>
    <row r="38" spans="1:35" s="3" customFormat="1" ht="21" customHeight="1" x14ac:dyDescent="0.25">
      <c r="A38" s="43"/>
      <c r="B38" s="91" t="s">
        <v>382</v>
      </c>
      <c r="C38" s="91"/>
      <c r="D38" s="91"/>
      <c r="E38" s="91"/>
      <c r="F38" s="116" t="str">
        <f>S27</f>
        <v>Yes</v>
      </c>
      <c r="G38" s="77"/>
      <c r="H38" s="287"/>
      <c r="I38" s="287"/>
      <c r="J38" s="287"/>
      <c r="K38" s="287"/>
      <c r="L38" s="75"/>
      <c r="M38" s="76"/>
      <c r="N38" s="76"/>
      <c r="O38" s="76"/>
      <c r="P38" s="76"/>
      <c r="Q38" s="76"/>
      <c r="R38" s="76"/>
      <c r="S38"/>
      <c r="T38"/>
      <c r="U38"/>
      <c r="V38" s="4"/>
      <c r="W38" s="287"/>
      <c r="X38" s="287"/>
      <c r="Y38" s="287"/>
      <c r="Z38" s="287"/>
      <c r="AA38" s="287"/>
      <c r="AB38" s="287"/>
      <c r="AC38" s="287"/>
      <c r="AD38" s="287"/>
      <c r="AE38" s="287"/>
      <c r="AF38" s="287"/>
      <c r="AG38" s="287"/>
      <c r="AH38" s="287"/>
      <c r="AI38" s="287"/>
    </row>
    <row r="39" spans="1:35" s="58" customFormat="1" ht="32.25" customHeight="1" x14ac:dyDescent="0.25">
      <c r="G39" s="17"/>
      <c r="L39"/>
      <c r="M39"/>
      <c r="N39"/>
      <c r="O39"/>
      <c r="P39"/>
      <c r="S39"/>
      <c r="T39"/>
      <c r="U39"/>
      <c r="V39" s="79"/>
    </row>
    <row r="40" spans="1:35" s="58" customFormat="1" ht="37.5" customHeight="1" x14ac:dyDescent="0.25">
      <c r="D40" s="80"/>
      <c r="E40" s="80"/>
      <c r="L40"/>
      <c r="M40"/>
      <c r="N40"/>
      <c r="O40"/>
      <c r="P40"/>
      <c r="S40"/>
      <c r="T40"/>
      <c r="U40"/>
      <c r="V40" s="79"/>
    </row>
    <row r="41" spans="1:35" s="58" customFormat="1" ht="39" customHeight="1" x14ac:dyDescent="0.25">
      <c r="L41"/>
      <c r="M41"/>
      <c r="N41"/>
      <c r="O41"/>
      <c r="P41"/>
      <c r="S41"/>
      <c r="T41"/>
      <c r="U41"/>
      <c r="V41" s="79"/>
    </row>
    <row r="42" spans="1:35" s="17" customFormat="1" ht="21" customHeight="1" x14ac:dyDescent="0.25">
      <c r="L42"/>
      <c r="M42"/>
      <c r="N42"/>
      <c r="O42"/>
      <c r="P42"/>
      <c r="Q42"/>
      <c r="R42"/>
      <c r="S42"/>
      <c r="T42"/>
      <c r="U42"/>
      <c r="V42" s="79"/>
    </row>
    <row r="43" spans="1:35" s="17" customFormat="1" ht="21" customHeight="1" x14ac:dyDescent="0.25">
      <c r="L43"/>
      <c r="M43"/>
      <c r="N43"/>
      <c r="O43"/>
      <c r="P43"/>
      <c r="Q43"/>
      <c r="R43"/>
      <c r="S43"/>
      <c r="T43"/>
      <c r="U43"/>
      <c r="V43" s="79"/>
    </row>
    <row r="44" spans="1:35" s="17" customFormat="1" ht="21" customHeight="1" x14ac:dyDescent="0.25">
      <c r="L44"/>
      <c r="M44"/>
      <c r="N44"/>
      <c r="O44"/>
      <c r="P44"/>
      <c r="Q44"/>
      <c r="R44"/>
      <c r="S44"/>
      <c r="T44"/>
      <c r="U44"/>
      <c r="V44" s="79"/>
    </row>
    <row r="45" spans="1:35" s="17" customFormat="1" ht="21" customHeight="1" x14ac:dyDescent="0.25">
      <c r="L45"/>
      <c r="M45"/>
      <c r="N45"/>
      <c r="O45"/>
      <c r="P45"/>
      <c r="Q45"/>
      <c r="R45"/>
      <c r="S45"/>
      <c r="T45"/>
      <c r="U45"/>
      <c r="V45" s="79"/>
    </row>
    <row r="46" spans="1:35" s="58" customFormat="1" ht="21" customHeight="1" x14ac:dyDescent="0.25">
      <c r="L46"/>
      <c r="M46"/>
      <c r="N46"/>
      <c r="O46"/>
      <c r="P46"/>
      <c r="Q46"/>
      <c r="R46"/>
      <c r="S46"/>
      <c r="T46"/>
      <c r="U46"/>
      <c r="V46" s="79"/>
    </row>
    <row r="47" spans="1:35" ht="21" customHeight="1" x14ac:dyDescent="0.25">
      <c r="A47" s="73"/>
      <c r="B47" s="73"/>
      <c r="C47" s="73"/>
      <c r="D47" s="73"/>
      <c r="E47" s="73"/>
      <c r="F47" s="73"/>
      <c r="G47" s="73"/>
      <c r="H47" s="73"/>
      <c r="I47" s="73"/>
      <c r="J47" s="73"/>
      <c r="K47" s="73"/>
      <c r="L47"/>
      <c r="M47"/>
      <c r="N47"/>
      <c r="O47"/>
      <c r="P47"/>
      <c r="Q47"/>
      <c r="R47"/>
      <c r="S47"/>
      <c r="T47"/>
      <c r="U47"/>
      <c r="W47" s="73"/>
      <c r="X47" s="73"/>
      <c r="Y47" s="73"/>
      <c r="Z47" s="73"/>
      <c r="AA47" s="73"/>
      <c r="AB47" s="73"/>
      <c r="AC47" s="73"/>
      <c r="AD47" s="73"/>
      <c r="AE47" s="73"/>
      <c r="AF47" s="73"/>
      <c r="AG47" s="73"/>
      <c r="AH47" s="73"/>
      <c r="AI47" s="73"/>
    </row>
    <row r="48" spans="1:35" ht="21" customHeight="1" x14ac:dyDescent="0.25">
      <c r="A48" s="73"/>
      <c r="B48" s="73"/>
      <c r="C48" s="73"/>
      <c r="D48" s="73"/>
      <c r="E48" s="73"/>
      <c r="F48" s="73"/>
      <c r="G48" s="73"/>
      <c r="H48" s="73"/>
      <c r="I48" s="73"/>
      <c r="J48" s="73"/>
      <c r="K48" s="73"/>
      <c r="L48"/>
      <c r="M48"/>
      <c r="N48"/>
      <c r="O48"/>
      <c r="P48"/>
      <c r="Q48"/>
      <c r="R48"/>
      <c r="S48"/>
      <c r="T48"/>
      <c r="U48"/>
      <c r="W48" s="73"/>
      <c r="X48" s="73"/>
      <c r="Y48" s="73"/>
      <c r="Z48" s="73"/>
      <c r="AA48" s="73"/>
      <c r="AB48" s="73"/>
      <c r="AC48" s="73"/>
      <c r="AD48" s="73"/>
      <c r="AE48" s="73"/>
      <c r="AF48" s="73"/>
      <c r="AG48" s="73"/>
      <c r="AH48" s="73"/>
      <c r="AI48" s="73"/>
    </row>
    <row r="49" spans="2:35" x14ac:dyDescent="0.25">
      <c r="B49" s="73"/>
      <c r="C49" s="73"/>
      <c r="D49" s="73"/>
      <c r="E49" s="73"/>
      <c r="F49" s="73"/>
      <c r="G49" s="73"/>
      <c r="H49" s="73"/>
      <c r="I49" s="73"/>
      <c r="J49" s="73"/>
      <c r="K49" s="73"/>
      <c r="L49"/>
      <c r="M49"/>
      <c r="N49"/>
      <c r="O49"/>
      <c r="P49"/>
      <c r="Q49"/>
      <c r="R49"/>
      <c r="S49"/>
      <c r="T49"/>
      <c r="U49"/>
      <c r="W49" s="73"/>
      <c r="X49" s="73"/>
      <c r="Y49" s="73"/>
      <c r="Z49" s="73"/>
      <c r="AA49" s="73"/>
      <c r="AB49" s="73"/>
      <c r="AC49" s="73"/>
      <c r="AD49" s="73"/>
      <c r="AE49" s="73"/>
      <c r="AF49" s="73"/>
      <c r="AG49" s="73"/>
      <c r="AH49" s="73"/>
      <c r="AI49" s="73"/>
    </row>
  </sheetData>
  <sheetProtection algorithmName="SHA-512" hashValue="f1m4y4BBtVBuh8VmUJfrDqTT/k3xyPdfRVAdR+RAsovzZh9U4CmevvQg/i9jl1aJ5xQqzncwcvhOe9y35Aa0lg==" saltValue="f6AuWra/pZhCuWV3SOjZXw==" spinCount="100000" sheet="1" objects="1" scenarios="1" formatColumns="0" formatRows="0"/>
  <dataConsolidate/>
  <mergeCells count="33">
    <mergeCell ref="B30:E30"/>
    <mergeCell ref="W9:X9"/>
    <mergeCell ref="B36:E36"/>
    <mergeCell ref="B26:E26"/>
    <mergeCell ref="H10:H11"/>
    <mergeCell ref="B32:E32"/>
    <mergeCell ref="Q26:R26"/>
    <mergeCell ref="B9:B11"/>
    <mergeCell ref="C9:C11"/>
    <mergeCell ref="D9:D11"/>
    <mergeCell ref="E9:E11"/>
    <mergeCell ref="F9:F11"/>
    <mergeCell ref="Q25:R25"/>
    <mergeCell ref="I10:I11"/>
    <mergeCell ref="H9:K9"/>
    <mergeCell ref="B29:E29"/>
    <mergeCell ref="Q27:R27"/>
    <mergeCell ref="J10:J11"/>
    <mergeCell ref="K10:K11"/>
    <mergeCell ref="M24:S24"/>
    <mergeCell ref="N10:N11"/>
    <mergeCell ref="AB10:AB11"/>
    <mergeCell ref="W10:W11"/>
    <mergeCell ref="X10:X11"/>
    <mergeCell ref="Z10:Z11"/>
    <mergeCell ref="M10:M11"/>
    <mergeCell ref="P10:P11"/>
    <mergeCell ref="Q10:S10"/>
    <mergeCell ref="O10:O11"/>
    <mergeCell ref="AA10:AA11"/>
    <mergeCell ref="U9:U11"/>
    <mergeCell ref="Z9:AB9"/>
    <mergeCell ref="M9:S9"/>
  </mergeCells>
  <conditionalFormatting sqref="E12:E23">
    <cfRule type="expression" dxfId="27" priority="11">
      <formula>AND($E$5="surface area", $E$7="No")</formula>
    </cfRule>
  </conditionalFormatting>
  <conditionalFormatting sqref="Q12:Q23">
    <cfRule type="expression" dxfId="26" priority="9">
      <formula>$E$7="No"</formula>
    </cfRule>
  </conditionalFormatting>
  <conditionalFormatting sqref="F12:F23">
    <cfRule type="expression" dxfId="25" priority="3">
      <formula>OR(AND($E$5="volume",$E$7="No"), AND($E$5="volume",$E$7="Yes"))</formula>
    </cfRule>
  </conditionalFormatting>
  <conditionalFormatting sqref="N12:P23">
    <cfRule type="expression" dxfId="24" priority="2">
      <formula>$M12="Does not meet criteria"</formula>
    </cfRule>
  </conditionalFormatting>
  <conditionalFormatting sqref="I12:K23">
    <cfRule type="expression" dxfId="23" priority="1">
      <formula>_xlfn.XLOOKUP($H12,reportingTypeOptionsList,reportingTypeAdditionalInfoList)=0</formula>
    </cfRule>
  </conditionalFormatting>
  <dataValidations count="12">
    <dataValidation type="list" allowBlank="1" showInputMessage="1" showErrorMessage="1" sqref="E5" xr:uid="{1235014D-9417-461A-876C-481E545CE682}">
      <formula1>"surface area, volume"</formula1>
    </dataValidation>
    <dataValidation type="list" allowBlank="1" showInputMessage="1" showErrorMessage="1" sqref="E7 P12:P23" xr:uid="{7651B684-8EF0-46DF-96EC-4E97F89A9204}">
      <formula1>"Yes, No"</formula1>
    </dataValidation>
    <dataValidation type="custom" allowBlank="1" showInputMessage="1" showErrorMessage="1" sqref="F3" xr:uid="{848426E1-224E-4E6F-9CC5-E6B1432EA668}">
      <formula1>IF(AND($E$5="surface area", $E$7="No"),0,OR(AND($E$5="surface area", $E$7="Yes", ISNUMBER(E12)), AND($E$5="volume", $E$7="Yes", ISNUMBER(E12)), AND($E$5="volume", $E$7="No", ISNUMBER(E12))))</formula1>
    </dataValidation>
    <dataValidation type="list" allowBlank="1" sqref="M12:M23" xr:uid="{693E11F3-2627-4F77-954D-41C77F523C29}">
      <formula1>VOCreg</formula1>
    </dataValidation>
    <dataValidation type="custom" allowBlank="1" showInputMessage="1" showErrorMessage="1" sqref="E12:E23" xr:uid="{253F7C07-CF6D-486C-81F2-A3317EAE575B}">
      <formula1>OR(AND($E$5="surface area", $E$7="Yes", ISNUMBER(E12)), AND($E$5="volume", $E$7="Yes", ISNUMBER(E12)), AND($E$5="volume", $E$7="No", ISNUMBER(E12)))</formula1>
    </dataValidation>
    <dataValidation type="custom" allowBlank="1" showInputMessage="1" showErrorMessage="1" sqref="F12:F23" xr:uid="{DC17E860-B0A8-42E2-AF1C-14B181F3D596}">
      <formula1>OR(AND($E$5="volume", $E$7="Yes", ISNUMBER(F12)), AND($E$5="surface area", $E$7="Yes", ISNUMBER(F12)), AND($E$5="surface area", $E$7="No", ISNUMBER(F12)))</formula1>
    </dataValidation>
    <dataValidation type="list" allowBlank="1" showInputMessage="1" showErrorMessage="1" sqref="H12:H23" xr:uid="{2989356D-01CF-474F-9072-5659C8C89155}">
      <formula1>reportingTypeOptionsList</formula1>
    </dataValidation>
    <dataValidation type="list" allowBlank="1" showInputMessage="1" showErrorMessage="1" sqref="I12:I23" xr:uid="{4C24FB73-0BA9-4F35-A982-8B960B12251B}">
      <formula1>INDIRECT(_xlfn.XLOOKUP(H12,reportingTypeOptionsList,reportingTypeListsList))</formula1>
    </dataValidation>
    <dataValidation type="date" errorStyle="information" allowBlank="1" showInputMessage="1" showErrorMessage="1" error="Invalid date - check format and ensure it is after Certification Period Start Date" sqref="K12:K23" xr:uid="{CAE852B8-766E-4E94-BD4A-EADBEC228DB6}">
      <formula1>J12</formula1>
      <formula2>73051</formula2>
    </dataValidation>
    <dataValidation type="date" errorStyle="information" allowBlank="1" showInputMessage="1" showErrorMessage="1" error="Invalid date - check format and ensure it is before Certification Period End Date" sqref="J12:J23" xr:uid="{12DF11DE-14DA-4C75-B3A8-CD2148C6EB00}">
      <formula1>1</formula1>
      <formula2>K12</formula2>
    </dataValidation>
    <dataValidation type="list" allowBlank="1" showInputMessage="1" showErrorMessage="1" sqref="N12:N23" xr:uid="{FF5A912A-6E4C-42FE-8550-2AAAEFFE3887}">
      <formula1>INDIRECT(VLOOKUP(M12,VOClist,2,FALSE))</formula1>
    </dataValidation>
    <dataValidation type="custom" allowBlank="1" showInputMessage="1" showErrorMessage="1" sqref="Q12:Q23" xr:uid="{97CAED3D-2024-452A-B125-B5E6483DDD60}">
      <formula1>AND($E$7="Yes", ISNUMBER(Q12))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ddA">
                <anchor moveWithCells="1">
                  <from>
                    <xdr:col>1</xdr:col>
                    <xdr:colOff>9525</xdr:colOff>
                    <xdr:row>38</xdr:row>
                    <xdr:rowOff>180975</xdr:rowOff>
                  </from>
                  <to>
                    <xdr:col>1</xdr:col>
                    <xdr:colOff>1400175</xdr:colOff>
                    <xdr:row>39</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DeleteRow">
                <anchor moveWithCells="1">
                  <from>
                    <xdr:col>3</xdr:col>
                    <xdr:colOff>838200</xdr:colOff>
                    <xdr:row>38</xdr:row>
                    <xdr:rowOff>180975</xdr:rowOff>
                  </from>
                  <to>
                    <xdr:col>4</xdr:col>
                    <xdr:colOff>1209675</xdr:colOff>
                    <xdr:row>39</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I51"/>
  <sheetViews>
    <sheetView showGridLines="0" zoomScaleNormal="100" zoomScalePageLayoutView="80" workbookViewId="0"/>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7" width="2.42578125" style="2" customWidth="1"/>
    <col min="8" max="11" width="25.28515625" style="2" customWidth="1"/>
    <col min="12" max="12" width="2" style="2" customWidth="1"/>
    <col min="13" max="13" width="20.7109375" style="2" customWidth="1"/>
    <col min="14" max="14" width="24.7109375" style="2" customWidth="1"/>
    <col min="15" max="19" width="14.7109375" style="2" customWidth="1"/>
    <col min="20" max="20" width="2.42578125" style="2" customWidth="1"/>
    <col min="21" max="21" width="45.85546875" style="2" customWidth="1"/>
    <col min="22" max="22" width="4" style="4" customWidth="1"/>
    <col min="23" max="24" width="13.28515625" style="2" hidden="1" customWidth="1"/>
    <col min="25" max="25" width="15.28515625" style="2" hidden="1" customWidth="1"/>
    <col min="26" max="26" width="7.42578125" style="2" hidden="1" customWidth="1"/>
    <col min="27" max="27" width="10.140625" style="2" hidden="1" customWidth="1"/>
    <col min="28" max="28" width="16" style="2" hidden="1" customWidth="1"/>
    <col min="29" max="16384" width="8.85546875" style="2"/>
  </cols>
  <sheetData>
    <row r="1" spans="1:28" ht="15" customHeight="1" x14ac:dyDescent="0.2">
      <c r="A1" s="313"/>
      <c r="B1" s="285"/>
      <c r="C1" s="285"/>
      <c r="D1" s="285"/>
      <c r="E1" s="285"/>
      <c r="F1" s="285"/>
      <c r="G1" s="285"/>
      <c r="H1" s="285"/>
      <c r="I1" s="285"/>
      <c r="J1" s="285"/>
      <c r="K1" s="285"/>
      <c r="L1" s="285"/>
      <c r="M1" s="285"/>
      <c r="N1" s="285"/>
      <c r="O1" s="285"/>
      <c r="P1" s="285"/>
      <c r="Q1" s="285"/>
      <c r="R1" s="285"/>
      <c r="S1" s="285"/>
      <c r="T1" s="285"/>
      <c r="U1" s="285"/>
      <c r="V1" s="73"/>
      <c r="W1" s="73"/>
      <c r="X1" s="73"/>
      <c r="Y1" s="73"/>
      <c r="Z1" s="73"/>
      <c r="AA1" s="73"/>
      <c r="AB1" s="73"/>
    </row>
    <row r="2" spans="1:28" ht="20.25" customHeight="1" x14ac:dyDescent="0.2">
      <c r="A2" s="5"/>
      <c r="B2" s="6" t="s">
        <v>383</v>
      </c>
      <c r="C2" s="6"/>
      <c r="D2" s="7"/>
      <c r="E2" s="7"/>
      <c r="F2" s="8"/>
      <c r="G2" s="7"/>
      <c r="H2" s="7"/>
      <c r="I2" s="7"/>
      <c r="J2" s="7"/>
      <c r="K2" s="7"/>
      <c r="L2" s="7"/>
      <c r="M2" s="7"/>
      <c r="N2" s="7"/>
      <c r="O2" s="7"/>
      <c r="P2" s="7"/>
      <c r="Q2" s="7"/>
      <c r="R2" s="7"/>
      <c r="S2" s="7"/>
      <c r="T2" s="7"/>
      <c r="U2" s="7"/>
      <c r="V2" s="73"/>
      <c r="W2" s="73"/>
      <c r="X2" s="73"/>
      <c r="Y2" s="73"/>
      <c r="Z2" s="73"/>
      <c r="AA2" s="73"/>
      <c r="AB2" s="73"/>
    </row>
    <row r="3" spans="1:28" ht="15.75" customHeight="1" x14ac:dyDescent="0.2">
      <c r="A3" s="285"/>
      <c r="B3" s="285"/>
      <c r="C3" s="285"/>
      <c r="D3" s="285"/>
      <c r="E3" s="285"/>
      <c r="F3" s="285"/>
      <c r="G3" s="285"/>
      <c r="H3" s="285"/>
      <c r="I3" s="285"/>
      <c r="J3" s="285"/>
      <c r="K3" s="285"/>
      <c r="L3" s="285"/>
      <c r="M3" s="285"/>
      <c r="N3" s="285"/>
      <c r="O3" s="285"/>
      <c r="P3" s="285"/>
      <c r="Q3" s="285"/>
      <c r="R3" s="285"/>
      <c r="S3" s="285"/>
      <c r="T3" s="285"/>
      <c r="U3" s="285"/>
      <c r="V3" s="73"/>
      <c r="W3" s="73"/>
      <c r="X3" s="73"/>
      <c r="Y3" s="73"/>
      <c r="Z3" s="73"/>
      <c r="AA3" s="73"/>
      <c r="AB3" s="73"/>
    </row>
    <row r="4" spans="1:28" ht="22.5" customHeight="1" x14ac:dyDescent="0.25">
      <c r="A4" s="73"/>
      <c r="B4" s="73"/>
      <c r="C4" s="73"/>
      <c r="D4" s="73"/>
      <c r="E4" s="73"/>
      <c r="F4" s="73"/>
      <c r="G4" s="73"/>
      <c r="H4" s="73"/>
      <c r="I4" s="73"/>
      <c r="J4" s="73"/>
      <c r="K4" s="73"/>
      <c r="L4" s="73"/>
      <c r="M4" s="73"/>
      <c r="N4" s="73"/>
      <c r="O4" s="73"/>
      <c r="P4" s="73"/>
      <c r="Q4" s="73"/>
      <c r="R4" s="73"/>
      <c r="S4" s="73"/>
      <c r="T4" s="73"/>
      <c r="U4" s="73"/>
      <c r="W4" s="73"/>
      <c r="X4" s="73"/>
      <c r="Y4" s="73"/>
      <c r="Z4" s="73"/>
      <c r="AA4" s="73"/>
      <c r="AB4" s="73"/>
    </row>
    <row r="5" spans="1:28" ht="14.45" customHeight="1" x14ac:dyDescent="0.25">
      <c r="A5" s="73"/>
      <c r="B5" s="73" t="s">
        <v>337</v>
      </c>
      <c r="C5" s="73"/>
      <c r="D5" s="73"/>
      <c r="E5" s="110" t="s">
        <v>338</v>
      </c>
      <c r="F5" s="73"/>
      <c r="G5" s="73"/>
      <c r="H5" s="73"/>
      <c r="I5" s="73"/>
      <c r="J5" s="73"/>
      <c r="K5" s="73"/>
      <c r="L5" s="73"/>
      <c r="M5" s="73"/>
      <c r="N5" s="73"/>
      <c r="O5" s="73"/>
      <c r="P5" s="73"/>
      <c r="Q5" s="73"/>
      <c r="R5" s="73"/>
      <c r="S5" s="73"/>
      <c r="T5" s="73"/>
      <c r="U5" s="73"/>
      <c r="W5" s="73"/>
      <c r="X5" s="73"/>
      <c r="Y5" s="73"/>
      <c r="Z5" s="73"/>
      <c r="AA5" s="73"/>
      <c r="AB5" s="73"/>
    </row>
    <row r="6" spans="1:28" ht="15.75" customHeight="1" x14ac:dyDescent="0.25">
      <c r="A6" s="73"/>
      <c r="B6" s="73"/>
      <c r="C6" s="73"/>
      <c r="D6" s="73"/>
      <c r="E6" s="288"/>
      <c r="F6" s="73"/>
      <c r="G6" s="73"/>
      <c r="H6" s="73"/>
      <c r="I6" s="73"/>
      <c r="J6" s="73"/>
      <c r="K6" s="73"/>
      <c r="L6" s="73"/>
      <c r="M6" s="73"/>
      <c r="N6" s="73"/>
      <c r="O6" s="73"/>
      <c r="P6" s="73"/>
      <c r="Q6" s="73"/>
      <c r="R6" s="73"/>
      <c r="S6" s="73"/>
      <c r="T6" s="73"/>
      <c r="U6" s="73"/>
      <c r="W6" s="73"/>
      <c r="X6" s="73"/>
      <c r="Y6" s="73"/>
      <c r="Z6" s="73"/>
      <c r="AA6" s="73"/>
      <c r="AB6" s="73"/>
    </row>
    <row r="7" spans="1:28" x14ac:dyDescent="0.25">
      <c r="A7" s="73"/>
      <c r="B7" s="73" t="s">
        <v>339</v>
      </c>
      <c r="C7" s="73"/>
      <c r="D7" s="73"/>
      <c r="E7" s="110" t="s">
        <v>340</v>
      </c>
      <c r="F7" s="73"/>
      <c r="G7" s="73"/>
      <c r="H7" s="73"/>
      <c r="I7" s="73"/>
      <c r="J7" s="73"/>
      <c r="K7" s="73"/>
      <c r="L7" s="73"/>
      <c r="M7" s="73"/>
      <c r="N7" s="73"/>
      <c r="O7" s="73"/>
      <c r="P7" s="73"/>
      <c r="Q7" s="73"/>
      <c r="R7" s="73"/>
      <c r="S7" s="73"/>
      <c r="T7" s="73"/>
      <c r="U7" s="73"/>
      <c r="W7" s="73"/>
      <c r="X7" s="73"/>
      <c r="Y7" s="73"/>
      <c r="Z7" s="73"/>
      <c r="AA7" s="73"/>
      <c r="AB7" s="73"/>
    </row>
    <row r="8" spans="1:28" ht="22.5" customHeight="1" x14ac:dyDescent="0.25">
      <c r="A8" s="73"/>
      <c r="B8" s="73"/>
      <c r="C8" s="73"/>
      <c r="D8" s="73"/>
      <c r="E8" s="73"/>
      <c r="F8" s="73"/>
      <c r="G8" s="73"/>
      <c r="H8" s="73"/>
      <c r="I8" s="73"/>
      <c r="J8" s="73"/>
      <c r="K8" s="73"/>
      <c r="L8" s="73"/>
      <c r="M8" s="73"/>
      <c r="N8" s="73"/>
      <c r="O8" s="73"/>
      <c r="P8" s="73"/>
      <c r="Q8" s="73"/>
      <c r="R8" s="73"/>
      <c r="S8" s="73"/>
      <c r="T8" s="73"/>
      <c r="U8" s="73"/>
      <c r="W8" s="73"/>
      <c r="X8" s="73"/>
      <c r="Y8" s="73"/>
      <c r="Z8" s="73"/>
      <c r="AA8" s="73"/>
      <c r="AB8" s="73"/>
    </row>
    <row r="9" spans="1:28" ht="30" customHeight="1" x14ac:dyDescent="0.25">
      <c r="A9" s="73"/>
      <c r="B9" s="359" t="s">
        <v>341</v>
      </c>
      <c r="C9" s="359" t="s">
        <v>342</v>
      </c>
      <c r="D9" s="359" t="s">
        <v>343</v>
      </c>
      <c r="E9" s="359" t="s">
        <v>344</v>
      </c>
      <c r="F9" s="359" t="str">
        <f>"Product surface area" &amp; IF(Instructions!$H$10="IP Units", " (sq ft)", IF(Instructions!$H$10="SI Units"," (sq m)"))</f>
        <v>Product surface area (sq ft)</v>
      </c>
      <c r="G9" s="267" t="s">
        <v>345</v>
      </c>
      <c r="H9" s="362" t="s">
        <v>334</v>
      </c>
      <c r="I9" s="363"/>
      <c r="J9" s="363"/>
      <c r="K9" s="364"/>
      <c r="L9" s="270"/>
      <c r="M9" s="353" t="s">
        <v>346</v>
      </c>
      <c r="N9" s="353"/>
      <c r="O9" s="353"/>
      <c r="P9" s="353"/>
      <c r="Q9" s="353"/>
      <c r="R9" s="353"/>
      <c r="S9" s="353"/>
      <c r="T9" s="270"/>
      <c r="U9" s="351" t="s">
        <v>347</v>
      </c>
      <c r="W9" s="358" t="s">
        <v>291</v>
      </c>
      <c r="X9" s="358"/>
      <c r="Y9" s="73"/>
      <c r="Z9" s="352" t="s">
        <v>294</v>
      </c>
      <c r="AA9" s="352"/>
      <c r="AB9" s="352"/>
    </row>
    <row r="10" spans="1:28" ht="24.75" customHeight="1" x14ac:dyDescent="0.25">
      <c r="A10" s="73"/>
      <c r="B10" s="360"/>
      <c r="C10" s="360"/>
      <c r="D10" s="360"/>
      <c r="E10" s="360"/>
      <c r="F10" s="360"/>
      <c r="G10" s="268"/>
      <c r="H10" s="348" t="s">
        <v>348</v>
      </c>
      <c r="I10" s="348" t="s">
        <v>349</v>
      </c>
      <c r="J10" s="348" t="s">
        <v>350</v>
      </c>
      <c r="K10" s="348" t="s">
        <v>351</v>
      </c>
      <c r="L10" s="271"/>
      <c r="M10" s="348" t="s">
        <v>352</v>
      </c>
      <c r="N10" s="348" t="s">
        <v>14</v>
      </c>
      <c r="O10" s="350" t="s">
        <v>353</v>
      </c>
      <c r="P10" s="349" t="s">
        <v>354</v>
      </c>
      <c r="Q10" s="348" t="s">
        <v>355</v>
      </c>
      <c r="R10" s="348"/>
      <c r="S10" s="348"/>
      <c r="T10" s="271"/>
      <c r="U10" s="351"/>
      <c r="W10" s="345" t="s">
        <v>356</v>
      </c>
      <c r="X10" s="345" t="s">
        <v>357</v>
      </c>
      <c r="Y10" s="73"/>
      <c r="Z10" s="347" t="s">
        <v>358</v>
      </c>
      <c r="AA10" s="347" t="s">
        <v>359</v>
      </c>
      <c r="AB10" s="344" t="s">
        <v>360</v>
      </c>
    </row>
    <row r="11" spans="1:28" ht="34.5" customHeight="1" x14ac:dyDescent="0.25">
      <c r="A11" s="73"/>
      <c r="B11" s="361"/>
      <c r="C11" s="361"/>
      <c r="D11" s="361"/>
      <c r="E11" s="361"/>
      <c r="F11" s="361"/>
      <c r="G11" s="268"/>
      <c r="H11" s="348"/>
      <c r="I11" s="348"/>
      <c r="J11" s="348"/>
      <c r="K11" s="348"/>
      <c r="L11" s="271"/>
      <c r="M11" s="348"/>
      <c r="N11" s="348"/>
      <c r="O11" s="350"/>
      <c r="P11" s="349"/>
      <c r="Q11" s="97" t="s">
        <v>361</v>
      </c>
      <c r="R11" s="98" t="s">
        <v>362</v>
      </c>
      <c r="S11" s="98" t="s">
        <v>363</v>
      </c>
      <c r="T11" s="271"/>
      <c r="U11" s="351"/>
      <c r="W11" s="346"/>
      <c r="X11" s="346"/>
      <c r="Y11" s="73"/>
      <c r="Z11" s="347"/>
      <c r="AA11" s="347"/>
      <c r="AB11" s="344"/>
    </row>
    <row r="12" spans="1:28" s="50" customFormat="1" ht="12" customHeight="1" x14ac:dyDescent="0.25">
      <c r="A12" s="48">
        <f t="shared" ref="A12:A21" si="0">IF(D12&gt;=0,0,0)</f>
        <v>0</v>
      </c>
      <c r="B12" s="83"/>
      <c r="C12" s="83"/>
      <c r="D12" s="99"/>
      <c r="E12" s="99"/>
      <c r="F12" s="99"/>
      <c r="G12" s="268"/>
      <c r="H12" s="312"/>
      <c r="I12" s="89"/>
      <c r="J12" s="314"/>
      <c r="K12" s="314"/>
      <c r="L12" s="271"/>
      <c r="M12" s="318"/>
      <c r="N12" s="320"/>
      <c r="O12" s="316" t="str" cm="1">
        <f t="array" ref="O12">IF(OR(M12="",N12=""),"",_xlfn.XLOOKUP(M12 &amp; "||" &amp; N12,Instructions!E$22:E$315 &amp; "||" &amp; Instructions!F$22:F$315,Instructions!H$22:H$315,""))</f>
        <v/>
      </c>
      <c r="P12" s="115"/>
      <c r="Q12" s="86"/>
      <c r="R12" s="87" t="str">
        <f t="shared" ref="R12:R19" si="1">IF($E$7="No","n/a",IF(OR(O12="",E12=""),"",E12*O12))</f>
        <v/>
      </c>
      <c r="S12" s="87" t="str">
        <f t="shared" ref="S12:S19" si="2">IF($E$7="No","n/a",IF(OR(ISBLANK(Q12),O12=""),"",E12*Q12))</f>
        <v/>
      </c>
      <c r="T12" s="271"/>
      <c r="U12" s="89"/>
      <c r="V12" s="49"/>
      <c r="W12" s="51" t="e">
        <f>IF(AND(#REF!="composite wood",(COUNTIF(#REF!,"Y")+COUNTIF(L12,"Y")+COUNTIF(#REF!,"Y")+COUNTIF(#REF!,"Y"))=0),"Yes","No")</f>
        <v>#REF!</v>
      </c>
      <c r="X12" s="51" t="e">
        <f>IF(AND(W12="Yes",#REF!="Y"),1,0)</f>
        <v>#REF!</v>
      </c>
      <c r="Z12" s="52" t="e">
        <f>IF(#REF!="Inherently nonemitting",1,COUNTIF(#REF!,"Y")+COUNTIF(L12,"Y")+COUNTIF(#REF!,"Y")+COUNTIF(#REF!,"Y")+COUNTIF(#REF!,"Y"))</f>
        <v>#REF!</v>
      </c>
      <c r="AA12" s="52" t="e">
        <f>IF(#REF!="Yes",1,COUNTIF(#REF!,"Y")+COUNTIF(#REF!,"Y")+COUNTIF(#REF!,"Y")+COUNTIF(#REF!,"Y")+COUNTIF(#REF!,"Y"))</f>
        <v>#REF!</v>
      </c>
      <c r="AB12" s="53" t="e">
        <f>IF(AND(Z12&gt;0,AA12=Z12),IF(AND(#REF!=0,#REF!=0),#REF!,IF(#REF!="Yes",#REF!,#REF!)),0)</f>
        <v>#REF!</v>
      </c>
    </row>
    <row r="13" spans="1:28" s="50" customFormat="1" ht="12" customHeight="1" x14ac:dyDescent="0.25">
      <c r="A13" s="48">
        <f t="shared" si="0"/>
        <v>0</v>
      </c>
      <c r="B13" s="83"/>
      <c r="C13" s="83"/>
      <c r="D13" s="99"/>
      <c r="E13" s="99"/>
      <c r="F13" s="99"/>
      <c r="G13" s="268"/>
      <c r="H13" s="312"/>
      <c r="I13" s="89"/>
      <c r="J13" s="314"/>
      <c r="K13" s="314"/>
      <c r="L13" s="271"/>
      <c r="M13" s="318"/>
      <c r="N13" s="318"/>
      <c r="O13" s="316" t="str" cm="1">
        <f t="array" ref="O13">IF(OR(M13="",N13=""),"",_xlfn.XLOOKUP(M13 &amp; "||" &amp; N13,Instructions!E$22:E$315 &amp; "||" &amp; Instructions!F$22:F$315,Instructions!H$22:H$315,""))</f>
        <v/>
      </c>
      <c r="P13" s="115"/>
      <c r="Q13" s="86"/>
      <c r="R13" s="87" t="str">
        <f t="shared" si="1"/>
        <v/>
      </c>
      <c r="S13" s="87" t="str">
        <f t="shared" si="2"/>
        <v/>
      </c>
      <c r="T13" s="271"/>
      <c r="U13" s="89"/>
      <c r="V13" s="49"/>
      <c r="W13" s="56" t="e">
        <f>IF(AND(#REF!="composite wood",(COUNTIF(#REF!,"Y")+COUNTIF(L13,"Y")+COUNTIF(#REF!,"Y")+COUNTIF(#REF!,"Y"))=0),"Yes","No")</f>
        <v>#REF!</v>
      </c>
      <c r="X13" s="56" t="e">
        <f>IF(AND(W13="Yes",#REF!="Y"),1,0)</f>
        <v>#REF!</v>
      </c>
      <c r="Z13" s="52" t="e">
        <f>IF(#REF!="Yes",1,COUNTIF(#REF!,"Y")+COUNTIF(L13,"Y")+COUNTIF(#REF!,"Y")+COUNTIF(#REF!,"Y")+COUNTIF(#REF!,"Y"))</f>
        <v>#REF!</v>
      </c>
      <c r="AA13" s="52" t="e">
        <f>IF(#REF!="Yes",1,COUNTIF(#REF!,"Y")+COUNTIF(#REF!,"Y")+COUNTIF(#REF!,"Y")+COUNTIF(#REF!,"Y")+COUNTIF(#REF!,"Y"))</f>
        <v>#REF!</v>
      </c>
      <c r="AB13" s="53" t="e">
        <f>IF(AND(Z13&gt;0,AA13=Z13),IF(AND(#REF!=0,#REF!=0),#REF!,IF(#REF!="Yes",#REF!,#REF!)),0)</f>
        <v>#REF!</v>
      </c>
    </row>
    <row r="14" spans="1:28" s="50" customFormat="1" ht="12" customHeight="1" x14ac:dyDescent="0.25">
      <c r="A14" s="48">
        <f t="shared" si="0"/>
        <v>0</v>
      </c>
      <c r="B14" s="83"/>
      <c r="C14" s="83"/>
      <c r="D14" s="99"/>
      <c r="E14" s="99"/>
      <c r="F14" s="99"/>
      <c r="G14" s="268"/>
      <c r="H14" s="312"/>
      <c r="I14" s="89"/>
      <c r="J14" s="314"/>
      <c r="K14" s="314"/>
      <c r="L14" s="271"/>
      <c r="M14" s="318"/>
      <c r="N14" s="318"/>
      <c r="O14" s="316" t="str" cm="1">
        <f t="array" ref="O14">IF(OR(M14="",N14=""),"",_xlfn.XLOOKUP(M14 &amp; "||" &amp; N14,Instructions!E$22:E$315 &amp; "||" &amp; Instructions!F$22:F$315,Instructions!H$22:H$315,""))</f>
        <v/>
      </c>
      <c r="P14" s="115"/>
      <c r="Q14" s="86"/>
      <c r="R14" s="87" t="str">
        <f t="shared" si="1"/>
        <v/>
      </c>
      <c r="S14" s="87" t="str">
        <f t="shared" si="2"/>
        <v/>
      </c>
      <c r="T14" s="271"/>
      <c r="U14" s="89"/>
      <c r="V14" s="49"/>
      <c r="W14" s="56" t="e">
        <f>IF(AND(#REF!="composite wood",(COUNTIF(#REF!,"Y")+COUNTIF(L14,"Y")+COUNTIF(#REF!,"Y")+COUNTIF(#REF!,"Y"))=0),"Yes","No")</f>
        <v>#REF!</v>
      </c>
      <c r="X14" s="56" t="e">
        <f>IF(AND(W14="Yes",#REF!="Y"),1,0)</f>
        <v>#REF!</v>
      </c>
      <c r="Z14" s="52" t="e">
        <f>IF(#REF!="Yes",1,COUNTIF(#REF!,"Y")+COUNTIF(L14,"Y")+COUNTIF(#REF!,"Y")+COUNTIF(#REF!,"Y")+COUNTIF(#REF!,"Y"))</f>
        <v>#REF!</v>
      </c>
      <c r="AA14" s="52" t="e">
        <f>IF(#REF!="Yes",1,COUNTIF(#REF!,"Y")+COUNTIF(#REF!,"Y")+COUNTIF(#REF!,"Y")+COUNTIF(#REF!,"Y")+COUNTIF(#REF!,"Y"))</f>
        <v>#REF!</v>
      </c>
      <c r="AB14" s="53" t="e">
        <f>IF(AND(Z14&gt;0,AA14=Z14),IF(AND(#REF!=0,#REF!=0),#REF!,IF(#REF!="Yes",#REF!,#REF!)),0)</f>
        <v>#REF!</v>
      </c>
    </row>
    <row r="15" spans="1:28" s="50" customFormat="1" ht="12" customHeight="1" x14ac:dyDescent="0.25">
      <c r="A15" s="48">
        <f t="shared" si="0"/>
        <v>0</v>
      </c>
      <c r="B15" s="83"/>
      <c r="C15" s="83"/>
      <c r="D15" s="99"/>
      <c r="E15" s="99"/>
      <c r="F15" s="99"/>
      <c r="G15" s="268"/>
      <c r="H15" s="312"/>
      <c r="I15" s="89"/>
      <c r="J15" s="314"/>
      <c r="K15" s="314"/>
      <c r="L15" s="271"/>
      <c r="M15" s="318"/>
      <c r="N15" s="318"/>
      <c r="O15" s="316" t="str" cm="1">
        <f t="array" ref="O15">IF(OR(M15="",N15=""),"",_xlfn.XLOOKUP(M15 &amp; "||" &amp; N15,Instructions!E$22:E$315 &amp; "||" &amp; Instructions!F$22:F$315,Instructions!H$22:H$315,""))</f>
        <v/>
      </c>
      <c r="P15" s="115"/>
      <c r="Q15" s="86"/>
      <c r="R15" s="87" t="str">
        <f t="shared" si="1"/>
        <v/>
      </c>
      <c r="S15" s="87" t="str">
        <f t="shared" si="2"/>
        <v/>
      </c>
      <c r="T15" s="271"/>
      <c r="U15" s="89"/>
      <c r="V15" s="49"/>
      <c r="W15" s="56" t="e">
        <f>IF(AND(#REF!="composite wood",(COUNTIF(#REF!,"Y")+COUNTIF(L15,"Y")+COUNTIF(#REF!,"Y")+COUNTIF(#REF!,"Y"))=0),"Yes","No")</f>
        <v>#REF!</v>
      </c>
      <c r="X15" s="56" t="e">
        <f>IF(AND(W15="Yes",#REF!="Y"),1,0)</f>
        <v>#REF!</v>
      </c>
      <c r="Z15" s="52" t="e">
        <f>IF(#REF!="Yes",1,COUNTIF(#REF!,"Y")+COUNTIF(L15,"Y")+COUNTIF(#REF!,"Y")+COUNTIF(#REF!,"Y")+COUNTIF(#REF!,"Y"))</f>
        <v>#REF!</v>
      </c>
      <c r="AA15" s="52" t="e">
        <f>IF(#REF!="Yes",1,COUNTIF(#REF!,"Y")+COUNTIF(#REF!,"Y")+COUNTIF(#REF!,"Y")+COUNTIF(#REF!,"Y")+COUNTIF(#REF!,"Y"))</f>
        <v>#REF!</v>
      </c>
      <c r="AB15" s="53" t="e">
        <f>IF(AND(Z15&gt;0,AA15=Z15),IF(AND(#REF!=0,#REF!=0),#REF!,IF(#REF!="Yes",#REF!,#REF!)),0)</f>
        <v>#REF!</v>
      </c>
    </row>
    <row r="16" spans="1:28" s="50" customFormat="1" ht="12" customHeight="1" x14ac:dyDescent="0.25">
      <c r="A16" s="48">
        <f t="shared" si="0"/>
        <v>0</v>
      </c>
      <c r="B16" s="83"/>
      <c r="C16" s="83"/>
      <c r="D16" s="99"/>
      <c r="E16" s="99"/>
      <c r="F16" s="99"/>
      <c r="G16" s="268"/>
      <c r="H16" s="312"/>
      <c r="I16" s="89"/>
      <c r="J16" s="314"/>
      <c r="K16" s="314"/>
      <c r="L16" s="271"/>
      <c r="M16" s="318"/>
      <c r="N16" s="318"/>
      <c r="O16" s="316" t="str" cm="1">
        <f t="array" ref="O16">IF(OR(M16="",N16=""),"",_xlfn.XLOOKUP(M16 &amp; "||" &amp; N16,Instructions!E$22:E$315 &amp; "||" &amp; Instructions!F$22:F$315,Instructions!H$22:H$315,""))</f>
        <v/>
      </c>
      <c r="P16" s="115"/>
      <c r="Q16" s="86"/>
      <c r="R16" s="87" t="str">
        <f t="shared" si="1"/>
        <v/>
      </c>
      <c r="S16" s="87" t="str">
        <f t="shared" si="2"/>
        <v/>
      </c>
      <c r="T16" s="271"/>
      <c r="U16" s="89"/>
      <c r="V16" s="49"/>
      <c r="W16" s="56" t="e">
        <f>IF(AND(#REF!="composite wood",(COUNTIF(#REF!,"Y")+COUNTIF(L16,"Y")+COUNTIF(#REF!,"Y")+COUNTIF(#REF!,"Y"))=0),"Yes","No")</f>
        <v>#REF!</v>
      </c>
      <c r="X16" s="56" t="e">
        <f>IF(AND(W16="Yes",#REF!="Y"),1,0)</f>
        <v>#REF!</v>
      </c>
      <c r="Z16" s="52" t="e">
        <f>IF(#REF!="Yes",1,COUNTIF(#REF!,"Y")+COUNTIF(L16,"Y")+COUNTIF(#REF!,"Y")+COUNTIF(#REF!,"Y")+COUNTIF(#REF!,"Y"))</f>
        <v>#REF!</v>
      </c>
      <c r="AA16" s="52" t="e">
        <f>IF(#REF!="Yes",1,COUNTIF(#REF!,"Y")+COUNTIF(#REF!,"Y")+COUNTIF(#REF!,"Y")+COUNTIF(#REF!,"Y")+COUNTIF(#REF!,"Y"))</f>
        <v>#REF!</v>
      </c>
      <c r="AB16" s="53" t="e">
        <f>IF(AND(Z16&gt;0,AA16=Z16),IF(AND(#REF!=0,#REF!=0),#REF!,IF(#REF!="Yes",#REF!,#REF!)),0)</f>
        <v>#REF!</v>
      </c>
    </row>
    <row r="17" spans="1:35" s="50" customFormat="1" ht="12" customHeight="1" x14ac:dyDescent="0.25">
      <c r="A17" s="48">
        <f t="shared" si="0"/>
        <v>0</v>
      </c>
      <c r="B17" s="83"/>
      <c r="C17" s="83"/>
      <c r="D17" s="99"/>
      <c r="E17" s="99"/>
      <c r="F17" s="99"/>
      <c r="G17" s="268"/>
      <c r="H17" s="312"/>
      <c r="I17" s="89"/>
      <c r="J17" s="314"/>
      <c r="K17" s="314"/>
      <c r="L17" s="271"/>
      <c r="M17" s="318"/>
      <c r="N17" s="318"/>
      <c r="O17" s="316" t="str" cm="1">
        <f t="array" ref="O17">IF(OR(M17="",N17=""),"",_xlfn.XLOOKUP(M17 &amp; "||" &amp; N17,Instructions!E$22:E$315 &amp; "||" &amp; Instructions!F$22:F$315,Instructions!H$22:H$315,""))</f>
        <v/>
      </c>
      <c r="P17" s="115"/>
      <c r="Q17" s="86"/>
      <c r="R17" s="87" t="str">
        <f t="shared" si="1"/>
        <v/>
      </c>
      <c r="S17" s="87" t="str">
        <f t="shared" si="2"/>
        <v/>
      </c>
      <c r="T17" s="271"/>
      <c r="U17" s="89"/>
      <c r="V17" s="49"/>
      <c r="W17" s="56" t="e">
        <f>IF(AND(#REF!="composite wood",(COUNTIF(#REF!,"Y")+COUNTIF(L17,"Y")+COUNTIF(#REF!,"Y")+COUNTIF(#REF!,"Y"))=0),"Yes","No")</f>
        <v>#REF!</v>
      </c>
      <c r="X17" s="56" t="e">
        <f>IF(AND(W17="Yes",#REF!="Y"),1,0)</f>
        <v>#REF!</v>
      </c>
      <c r="Z17" s="52" t="e">
        <f>IF(#REF!="Yes",1,COUNTIF(#REF!,"Y")+COUNTIF(L17,"Y")+COUNTIF(#REF!,"Y")+COUNTIF(#REF!,"Y")+COUNTIF(#REF!,"Y"))</f>
        <v>#REF!</v>
      </c>
      <c r="AA17" s="52" t="e">
        <f>IF(#REF!="Yes",1,COUNTIF(#REF!,"Y")+COUNTIF(#REF!,"Y")+COUNTIF(#REF!,"Y")+COUNTIF(#REF!,"Y")+COUNTIF(#REF!,"Y"))</f>
        <v>#REF!</v>
      </c>
      <c r="AB17" s="53" t="e">
        <f>IF(AND(Z17&gt;0,AA17=Z17),IF(AND(#REF!=0,#REF!=0),#REF!,IF(#REF!="Yes",#REF!,#REF!)),0)</f>
        <v>#REF!</v>
      </c>
    </row>
    <row r="18" spans="1:35" s="50" customFormat="1" ht="12" customHeight="1" x14ac:dyDescent="0.25">
      <c r="A18" s="48">
        <f t="shared" si="0"/>
        <v>0</v>
      </c>
      <c r="B18" s="83"/>
      <c r="C18" s="83"/>
      <c r="D18" s="99"/>
      <c r="E18" s="99"/>
      <c r="F18" s="99"/>
      <c r="G18" s="268"/>
      <c r="H18" s="312"/>
      <c r="I18" s="89"/>
      <c r="J18" s="314"/>
      <c r="K18" s="314"/>
      <c r="L18" s="271"/>
      <c r="M18" s="319"/>
      <c r="N18" s="321"/>
      <c r="O18" s="316" t="str" cm="1">
        <f t="array" ref="O18">IF(OR(M18="",N18=""),"",_xlfn.XLOOKUP(M18 &amp; "||" &amp; N18,Instructions!E$22:E$315 &amp; "||" &amp; Instructions!F$22:F$315,Instructions!H$22:H$315,""))</f>
        <v/>
      </c>
      <c r="P18" s="115"/>
      <c r="Q18" s="86"/>
      <c r="R18" s="87" t="str">
        <f t="shared" si="1"/>
        <v/>
      </c>
      <c r="S18" s="87" t="str">
        <f t="shared" si="2"/>
        <v/>
      </c>
      <c r="T18" s="271"/>
      <c r="U18" s="89"/>
      <c r="V18" s="49"/>
      <c r="W18" s="56" t="e">
        <f>IF(AND(#REF!="composite wood",(COUNTIF(#REF!,"Y")+COUNTIF(L18,"Y")+COUNTIF(#REF!,"Y")+COUNTIF(#REF!,"Y"))=0),"Yes","No")</f>
        <v>#REF!</v>
      </c>
      <c r="X18" s="56" t="e">
        <f>IF(AND(W18="Yes",#REF!="Y"),1,0)</f>
        <v>#REF!</v>
      </c>
      <c r="Z18" s="52" t="e">
        <f>IF(#REF!="Yes",1,COUNTIF(#REF!,"Y")+COUNTIF(L18,"Y")+COUNTIF(#REF!,"Y")+COUNTIF(#REF!,"Y")+COUNTIF(#REF!,"Y"))</f>
        <v>#REF!</v>
      </c>
      <c r="AA18" s="52" t="e">
        <f>IF(#REF!="Yes",1,COUNTIF(#REF!,"Y")+COUNTIF(#REF!,"Y")+COUNTIF(#REF!,"Y")+COUNTIF(#REF!,"Y")+COUNTIF(#REF!,"Y"))</f>
        <v>#REF!</v>
      </c>
      <c r="AB18" s="53" t="e">
        <f>IF(AND(Z18&gt;0,AA18=Z18),IF(AND(#REF!=0,#REF!=0),#REF!,IF(#REF!="Yes",#REF!,#REF!)),0)</f>
        <v>#REF!</v>
      </c>
    </row>
    <row r="19" spans="1:35" s="50" customFormat="1" ht="12" customHeight="1" x14ac:dyDescent="0.25">
      <c r="A19" s="48">
        <f t="shared" si="0"/>
        <v>0</v>
      </c>
      <c r="B19" s="83"/>
      <c r="C19" s="83"/>
      <c r="D19" s="99"/>
      <c r="E19" s="99"/>
      <c r="F19" s="99"/>
      <c r="G19" s="268"/>
      <c r="H19" s="312"/>
      <c r="I19" s="89"/>
      <c r="J19" s="314"/>
      <c r="K19" s="314"/>
      <c r="L19" s="271"/>
      <c r="M19" s="318"/>
      <c r="N19" s="318"/>
      <c r="O19" s="316" t="str" cm="1">
        <f t="array" ref="O19">IF(OR(M19="",N19=""),"",_xlfn.XLOOKUP(M19 &amp; "||" &amp; N19,Instructions!E$22:E$315 &amp; "||" &amp; Instructions!F$22:F$315,Instructions!H$22:H$315,""))</f>
        <v/>
      </c>
      <c r="P19" s="115"/>
      <c r="Q19" s="86"/>
      <c r="R19" s="87" t="str">
        <f t="shared" si="1"/>
        <v/>
      </c>
      <c r="S19" s="87" t="str">
        <f t="shared" si="2"/>
        <v/>
      </c>
      <c r="T19" s="271"/>
      <c r="U19" s="89"/>
      <c r="V19" s="49"/>
      <c r="W19" s="56" t="e">
        <f>IF(AND(#REF!="composite wood",(COUNTIF(#REF!,"Y")+COUNTIF(L19,"Y")+COUNTIF(#REF!,"Y")+COUNTIF(#REF!,"Y"))=0),"Yes","No")</f>
        <v>#REF!</v>
      </c>
      <c r="X19" s="56" t="e">
        <f>IF(AND(W19="Yes",#REF!="Y"),1,0)</f>
        <v>#REF!</v>
      </c>
      <c r="Z19" s="52" t="e">
        <f>IF(#REF!="Yes",1,COUNTIF(#REF!,"Y")+COUNTIF(L19,"Y")+COUNTIF(#REF!,"Y")+COUNTIF(#REF!,"Y")+COUNTIF(#REF!,"Y"))</f>
        <v>#REF!</v>
      </c>
      <c r="AA19" s="52" t="e">
        <f>IF(#REF!="Yes",1,COUNTIF(#REF!,"Y")+COUNTIF(#REF!,"Y")+COUNTIF(#REF!,"Y")+COUNTIF(#REF!,"Y")+COUNTIF(#REF!,"Y"))</f>
        <v>#REF!</v>
      </c>
      <c r="AB19" s="53" t="e">
        <f>IF(AND(Z19&gt;0,AA19=Z19),IF(AND(#REF!=0,#REF!=0),#REF!,IF(#REF!="Yes",#REF!,#REF!)),0)</f>
        <v>#REF!</v>
      </c>
    </row>
    <row r="20" spans="1:35" s="50" customFormat="1" ht="12" customHeight="1" x14ac:dyDescent="0.25">
      <c r="A20" s="48">
        <f t="shared" si="0"/>
        <v>0</v>
      </c>
      <c r="B20" s="83"/>
      <c r="C20" s="83"/>
      <c r="D20" s="99"/>
      <c r="E20" s="99"/>
      <c r="F20" s="99"/>
      <c r="G20" s="268"/>
      <c r="H20" s="312"/>
      <c r="I20" s="89"/>
      <c r="J20" s="314"/>
      <c r="K20" s="314"/>
      <c r="L20" s="271"/>
      <c r="M20" s="318"/>
      <c r="N20" s="318"/>
      <c r="O20" s="316" t="str" cm="1">
        <f t="array" ref="O20">IF(OR(M20="",N20=""),"",_xlfn.XLOOKUP(M20 &amp; "||" &amp; N20,Instructions!E$22:E$315 &amp; "||" &amp; Instructions!F$22:F$315,Instructions!H$22:H$315,""))</f>
        <v/>
      </c>
      <c r="P20" s="115"/>
      <c r="Q20" s="86"/>
      <c r="R20" s="87" t="str">
        <f t="shared" ref="R20:R25" si="3">IF($E$7="No","n/a",IF(OR(O20="",E20=""),"",E20*O20))</f>
        <v/>
      </c>
      <c r="S20" s="87" t="str">
        <f t="shared" ref="S20:S25" si="4">IF($E$7="No","n/a",IF(OR(ISBLANK(Q20),O20=""),"",E20*Q20))</f>
        <v/>
      </c>
      <c r="T20" s="271"/>
      <c r="U20" s="89"/>
      <c r="V20" s="49"/>
      <c r="W20" s="56" t="e">
        <f>IF(AND(#REF!="composite wood",(COUNTIF(#REF!,"Y")+COUNTIF(L20,"Y")+COUNTIF(#REF!,"Y")+COUNTIF(#REF!,"Y"))=0),"Yes","No")</f>
        <v>#REF!</v>
      </c>
      <c r="X20" s="56" t="e">
        <f>IF(AND(W20="Yes",#REF!="Y"),1,0)</f>
        <v>#REF!</v>
      </c>
      <c r="Z20" s="52" t="e">
        <f>IF(#REF!="Yes",1,COUNTIF(#REF!,"Y")+COUNTIF(L20,"Y")+COUNTIF(#REF!,"Y")+COUNTIF(#REF!,"Y")+COUNTIF(#REF!,"Y"))</f>
        <v>#REF!</v>
      </c>
      <c r="AA20" s="52" t="e">
        <f>IF(#REF!="Yes",1,COUNTIF(#REF!,"Y")+COUNTIF(#REF!,"Y")+COUNTIF(#REF!,"Y")+COUNTIF(#REF!,"Y")+COUNTIF(#REF!,"Y"))</f>
        <v>#REF!</v>
      </c>
      <c r="AB20" s="53" t="e">
        <f>IF(AND(Z20&gt;0,AA20=Z20),IF(AND(#REF!=0,#REF!=0),#REF!,IF(#REF!="Yes",#REF!,#REF!)),0)</f>
        <v>#REF!</v>
      </c>
    </row>
    <row r="21" spans="1:35" s="50" customFormat="1" ht="12" customHeight="1" x14ac:dyDescent="0.25">
      <c r="A21" s="48">
        <f t="shared" si="0"/>
        <v>0</v>
      </c>
      <c r="B21" s="83"/>
      <c r="C21" s="83"/>
      <c r="D21" s="99"/>
      <c r="E21" s="99"/>
      <c r="F21" s="99"/>
      <c r="G21" s="268"/>
      <c r="H21" s="312"/>
      <c r="I21" s="89"/>
      <c r="J21" s="314"/>
      <c r="K21" s="314"/>
      <c r="L21" s="271"/>
      <c r="M21" s="318"/>
      <c r="N21" s="318"/>
      <c r="O21" s="316" t="str" cm="1">
        <f t="array" ref="O21">IF(OR(M21="",N21=""),"",_xlfn.XLOOKUP(M21 &amp; "||" &amp; N21,Instructions!E$22:E$315 &amp; "||" &amp; Instructions!F$22:F$315,Instructions!H$22:H$315,""))</f>
        <v/>
      </c>
      <c r="P21" s="115"/>
      <c r="Q21" s="86"/>
      <c r="R21" s="87" t="str">
        <f t="shared" si="3"/>
        <v/>
      </c>
      <c r="S21" s="87" t="str">
        <f t="shared" si="4"/>
        <v/>
      </c>
      <c r="T21" s="271"/>
      <c r="U21" s="89"/>
      <c r="V21" s="49"/>
      <c r="W21" s="56" t="e">
        <f>IF(AND(#REF!="composite wood",(COUNTIF(#REF!,"Y")+COUNTIF(L21,"Y")+COUNTIF(#REF!,"Y")+COUNTIF(#REF!,"Y"))=0),"Yes","No")</f>
        <v>#REF!</v>
      </c>
      <c r="X21" s="56" t="e">
        <f>IF(AND(W21="Yes",#REF!="Y"),1,0)</f>
        <v>#REF!</v>
      </c>
      <c r="Z21" s="52" t="e">
        <f>IF(#REF!="Yes",1,COUNTIF(#REF!,"Y")+COUNTIF(L21,"Y")+COUNTIF(#REF!,"Y")+COUNTIF(#REF!,"Y")+COUNTIF(#REF!,"Y"))</f>
        <v>#REF!</v>
      </c>
      <c r="AA21" s="52" t="e">
        <f>IF(#REF!="Yes",1,COUNTIF(#REF!,"Y")+COUNTIF(#REF!,"Y")+COUNTIF(#REF!,"Y")+COUNTIF(#REF!,"Y")+COUNTIF(#REF!,"Y"))</f>
        <v>#REF!</v>
      </c>
      <c r="AB21" s="53" t="e">
        <f>IF(AND(Z21&gt;0,AA21=Z21),IF(AND(#REF!=0,#REF!=0),#REF!,IF(#REF!="Yes",#REF!,#REF!)),0)</f>
        <v>#REF!</v>
      </c>
    </row>
    <row r="22" spans="1:35" s="50" customFormat="1" ht="12" customHeight="1" x14ac:dyDescent="0.25">
      <c r="A22" s="48">
        <f t="shared" ref="A22" si="5">IF(D22&gt;=0,0,0)</f>
        <v>0</v>
      </c>
      <c r="B22" s="83"/>
      <c r="C22" s="83"/>
      <c r="D22" s="99"/>
      <c r="E22" s="99"/>
      <c r="F22" s="99"/>
      <c r="G22" s="268"/>
      <c r="H22" s="312"/>
      <c r="I22" s="89"/>
      <c r="J22" s="314"/>
      <c r="K22" s="314"/>
      <c r="L22" s="271"/>
      <c r="M22" s="318"/>
      <c r="N22" s="318"/>
      <c r="O22" s="316" t="str" cm="1">
        <f t="array" ref="O22">IF(OR(M22="",N22=""),"",_xlfn.XLOOKUP(M22 &amp; "||" &amp; N22,Instructions!E$22:E$315 &amp; "||" &amp; Instructions!F$22:F$315,Instructions!H$22:H$315,""))</f>
        <v/>
      </c>
      <c r="P22" s="115"/>
      <c r="Q22" s="86"/>
      <c r="R22" s="87" t="str">
        <f t="shared" ref="R22" si="6">IF($E$7="No","n/a",IF(OR(O22="",E22=""),"",E22*O22))</f>
        <v/>
      </c>
      <c r="S22" s="87" t="str">
        <f t="shared" ref="S22" si="7">IF($E$7="No","n/a",IF(OR(ISBLANK(Q22),O22=""),"",E22*Q22))</f>
        <v/>
      </c>
      <c r="T22" s="271"/>
      <c r="U22" s="89"/>
      <c r="V22" s="49"/>
      <c r="W22" s="56" t="e">
        <f>IF(AND(#REF!="composite wood",(COUNTIF(#REF!,"Y")+COUNTIF(L22,"Y")+COUNTIF(#REF!,"Y")+COUNTIF(#REF!,"Y"))=0),"Yes","No")</f>
        <v>#REF!</v>
      </c>
      <c r="X22" s="56" t="e">
        <f>IF(AND(W22="Yes",#REF!="Y"),1,0)</f>
        <v>#REF!</v>
      </c>
      <c r="Z22" s="52" t="e">
        <f>IF(#REF!="Yes",1,COUNTIF(#REF!,"Y")+COUNTIF(L22,"Y")+COUNTIF(#REF!,"Y")+COUNTIF(#REF!,"Y")+COUNTIF(#REF!,"Y"))</f>
        <v>#REF!</v>
      </c>
      <c r="AA22" s="52" t="e">
        <f>IF(#REF!="Yes",1,COUNTIF(#REF!,"Y")+COUNTIF(#REF!,"Y")+COUNTIF(#REF!,"Y")+COUNTIF(#REF!,"Y")+COUNTIF(#REF!,"Y"))</f>
        <v>#REF!</v>
      </c>
      <c r="AB22" s="53" t="e">
        <f>IF(AND(Z22&gt;0,AA22=Z22),IF(AND(#REF!=0,#REF!=0),#REF!,IF(#REF!="Yes",#REF!,#REF!)),0)</f>
        <v>#REF!</v>
      </c>
    </row>
    <row r="23" spans="1:35" s="50" customFormat="1" ht="12" customHeight="1" x14ac:dyDescent="0.25">
      <c r="A23" s="48">
        <f t="shared" ref="A23" si="8">IF(D23&gt;=0,0,0)</f>
        <v>0</v>
      </c>
      <c r="B23" s="83"/>
      <c r="C23" s="83"/>
      <c r="D23" s="99"/>
      <c r="E23" s="99"/>
      <c r="F23" s="99"/>
      <c r="G23" s="268"/>
      <c r="H23" s="312"/>
      <c r="I23" s="89"/>
      <c r="J23" s="314"/>
      <c r="K23" s="314"/>
      <c r="L23" s="271"/>
      <c r="M23" s="318"/>
      <c r="N23" s="318"/>
      <c r="O23" s="316" t="str" cm="1">
        <f t="array" ref="O23">IF(OR(M23="",N23=""),"",_xlfn.XLOOKUP(M23 &amp; "||" &amp; N23,Instructions!E$22:E$315 &amp; "||" &amp; Instructions!F$22:F$315,Instructions!H$22:H$315,""))</f>
        <v/>
      </c>
      <c r="P23" s="115"/>
      <c r="Q23" s="86"/>
      <c r="R23" s="87" t="str">
        <f t="shared" ref="R23" si="9">IF($E$7="No","n/a",IF(OR(O23="",E23=""),"",E23*O23))</f>
        <v/>
      </c>
      <c r="S23" s="87" t="str">
        <f t="shared" ref="S23" si="10">IF($E$7="No","n/a",IF(OR(ISBLANK(Q23),O23=""),"",E23*Q23))</f>
        <v/>
      </c>
      <c r="T23" s="271"/>
      <c r="U23" s="89"/>
      <c r="V23" s="49"/>
      <c r="W23" s="56" t="e">
        <f>IF(AND(#REF!="composite wood",(COUNTIF(#REF!,"Y")+COUNTIF(L23,"Y")+COUNTIF(#REF!,"Y")+COUNTIF(#REF!,"Y"))=0),"Yes","No")</f>
        <v>#REF!</v>
      </c>
      <c r="X23" s="56" t="e">
        <f>IF(AND(W23="Yes",#REF!="Y"),1,0)</f>
        <v>#REF!</v>
      </c>
      <c r="Z23" s="52" t="e">
        <f>IF(#REF!="Yes",1,COUNTIF(#REF!,"Y")+COUNTIF(L23,"Y")+COUNTIF(#REF!,"Y")+COUNTIF(#REF!,"Y")+COUNTIF(#REF!,"Y"))</f>
        <v>#REF!</v>
      </c>
      <c r="AA23" s="52" t="e">
        <f>IF(#REF!="Yes",1,COUNTIF(#REF!,"Y")+COUNTIF(#REF!,"Y")+COUNTIF(#REF!,"Y")+COUNTIF(#REF!,"Y")+COUNTIF(#REF!,"Y"))</f>
        <v>#REF!</v>
      </c>
      <c r="AB23" s="53" t="e">
        <f>IF(AND(Z23&gt;0,AA23=Z23),IF(AND(#REF!=0,#REF!=0),#REF!,IF(#REF!="Yes",#REF!,#REF!)),0)</f>
        <v>#REF!</v>
      </c>
    </row>
    <row r="24" spans="1:35" s="50" customFormat="1" ht="12" customHeight="1" x14ac:dyDescent="0.25">
      <c r="A24" s="48"/>
      <c r="B24" s="83"/>
      <c r="C24" s="83"/>
      <c r="D24" s="99"/>
      <c r="E24" s="99"/>
      <c r="F24" s="99"/>
      <c r="G24" s="268"/>
      <c r="H24" s="312"/>
      <c r="I24" s="89"/>
      <c r="J24" s="314"/>
      <c r="K24" s="314"/>
      <c r="L24" s="271"/>
      <c r="M24" s="318"/>
      <c r="N24" s="318"/>
      <c r="O24" s="316" t="str" cm="1">
        <f t="array" ref="O24">IF(OR(M24="",N24=""),"",_xlfn.XLOOKUP(M24 &amp; "||" &amp; N24,Instructions!E$22:E$315 &amp; "||" &amp; Instructions!F$22:F$315,Instructions!H$22:H$315,""))</f>
        <v/>
      </c>
      <c r="P24" s="115"/>
      <c r="Q24" s="86"/>
      <c r="R24" s="87" t="str">
        <f t="shared" si="3"/>
        <v/>
      </c>
      <c r="S24" s="87" t="str">
        <f t="shared" si="4"/>
        <v/>
      </c>
      <c r="T24" s="271"/>
      <c r="U24" s="89"/>
      <c r="V24" s="49"/>
      <c r="W24" s="56" t="e">
        <f>IF(AND(#REF!="composite wood",(COUNTIF(#REF!,"Y")+COUNTIF(L24,"Y")+COUNTIF(#REF!,"Y")+COUNTIF(#REF!,"Y"))=0),"Yes","No")</f>
        <v>#REF!</v>
      </c>
      <c r="X24" s="56" t="e">
        <f>IF(AND(W24="Yes",#REF!="Y"),1,0)</f>
        <v>#REF!</v>
      </c>
      <c r="Z24" s="52" t="e">
        <f>IF(#REF!="Yes",1,COUNTIF(#REF!,"Y")+COUNTIF(L24,"Y")+COUNTIF(#REF!,"Y")+COUNTIF(#REF!,"Y")+COUNTIF(#REF!,"Y"))</f>
        <v>#REF!</v>
      </c>
      <c r="AA24" s="52" t="e">
        <f>IF(#REF!="Yes",1,COUNTIF(#REF!,"Y")+COUNTIF(#REF!,"Y")+COUNTIF(#REF!,"Y")+COUNTIF(#REF!,"Y")+COUNTIF(#REF!,"Y"))</f>
        <v>#REF!</v>
      </c>
      <c r="AB24" s="53" t="e">
        <f>IF(AND(Z24&gt;0,AA24=Z24),IF(AND(#REF!=0,#REF!=0),#REF!,IF(#REF!="Yes",#REF!,#REF!)),0)</f>
        <v>#REF!</v>
      </c>
    </row>
    <row r="25" spans="1:35" s="50" customFormat="1" ht="12" customHeight="1" x14ac:dyDescent="0.25">
      <c r="A25" s="48"/>
      <c r="B25" s="83"/>
      <c r="C25" s="83"/>
      <c r="D25" s="99"/>
      <c r="E25" s="99"/>
      <c r="F25" s="99"/>
      <c r="G25" s="268"/>
      <c r="H25" s="312"/>
      <c r="I25" s="89"/>
      <c r="J25" s="314"/>
      <c r="K25" s="314"/>
      <c r="L25" s="271"/>
      <c r="M25" s="318"/>
      <c r="N25" s="318"/>
      <c r="O25" s="316" t="str" cm="1">
        <f t="array" ref="O25">IF(OR(M25="",N25=""),"",_xlfn.XLOOKUP(M25 &amp; "||" &amp; N25,Instructions!E$22:E$315 &amp; "||" &amp; Instructions!F$22:F$315,Instructions!H$22:H$315,""))</f>
        <v/>
      </c>
      <c r="P25" s="115"/>
      <c r="Q25" s="86"/>
      <c r="R25" s="87" t="str">
        <f t="shared" si="3"/>
        <v/>
      </c>
      <c r="S25" s="87" t="str">
        <f t="shared" si="4"/>
        <v/>
      </c>
      <c r="T25" s="271"/>
      <c r="U25" s="89"/>
      <c r="V25" s="49"/>
      <c r="W25" s="56" t="e">
        <f>IF(AND(#REF!="composite wood",(COUNTIF(#REF!,"Y")+COUNTIF(L25,"Y")+COUNTIF(#REF!,"Y")+COUNTIF(#REF!,"Y"))=0),"Yes","No")</f>
        <v>#REF!</v>
      </c>
      <c r="X25" s="56" t="e">
        <f>IF(AND(W25="Yes",#REF!="Y"),1,0)</f>
        <v>#REF!</v>
      </c>
      <c r="Z25" s="52" t="e">
        <f>IF(#REF!="Yes",1,COUNTIF(#REF!,"Y")+COUNTIF(L25,"Y")+COUNTIF(#REF!,"Y")+COUNTIF(#REF!,"Y")+COUNTIF(#REF!,"Y"))</f>
        <v>#REF!</v>
      </c>
      <c r="AA25" s="52" t="e">
        <f>IF(#REF!="Yes",1,COUNTIF(#REF!,"Y")+COUNTIF(#REF!,"Y")+COUNTIF(#REF!,"Y")+COUNTIF(#REF!,"Y")+COUNTIF(#REF!,"Y"))</f>
        <v>#REF!</v>
      </c>
      <c r="AB25" s="53" t="e">
        <f>IF(AND(Z25&gt;0,AA25=Z25),IF(AND(#REF!=0,#REF!=0),#REF!,IF(#REF!="Yes",#REF!,#REF!)),0)</f>
        <v>#REF!</v>
      </c>
    </row>
    <row r="26" spans="1:35" s="3" customFormat="1" ht="21" customHeight="1" x14ac:dyDescent="0.25">
      <c r="A26" s="43" t="s">
        <v>371</v>
      </c>
      <c r="B26" s="90"/>
      <c r="C26" s="90"/>
      <c r="D26" s="91"/>
      <c r="E26" s="91"/>
      <c r="F26" s="91"/>
      <c r="G26" s="269"/>
      <c r="H26" s="286"/>
      <c r="I26" s="311"/>
      <c r="J26" s="311"/>
      <c r="K26" s="311"/>
      <c r="L26" s="272"/>
      <c r="M26" s="354"/>
      <c r="N26" s="354"/>
      <c r="O26" s="354"/>
      <c r="P26" s="354"/>
      <c r="Q26" s="354"/>
      <c r="R26" s="354"/>
      <c r="S26" s="354"/>
      <c r="T26" s="272"/>
      <c r="U26" s="93"/>
      <c r="V26" s="4"/>
      <c r="W26" s="287"/>
      <c r="X26" s="287"/>
      <c r="Y26" s="287"/>
      <c r="Z26" s="287"/>
      <c r="AA26" s="287"/>
      <c r="AB26" s="287"/>
      <c r="AC26" s="287"/>
      <c r="AD26" s="287"/>
      <c r="AE26" s="287"/>
      <c r="AF26" s="287"/>
      <c r="AG26" s="287"/>
      <c r="AH26" s="287"/>
      <c r="AI26" s="287"/>
    </row>
    <row r="27" spans="1:35" s="3" customFormat="1" ht="30.75" customHeight="1" x14ac:dyDescent="0.25">
      <c r="A27" s="43"/>
      <c r="B27" s="74"/>
      <c r="C27" s="74"/>
      <c r="D27" s="17"/>
      <c r="E27" s="17"/>
      <c r="F27" s="17"/>
      <c r="G27" s="75"/>
      <c r="H27" s="287"/>
      <c r="I27" s="287"/>
      <c r="J27" s="287"/>
      <c r="K27" s="287"/>
      <c r="L27" s="75"/>
      <c r="M27" s="76"/>
      <c r="N27" s="76"/>
      <c r="O27" s="76"/>
      <c r="P27" s="76"/>
      <c r="Q27" s="351" t="s">
        <v>372</v>
      </c>
      <c r="R27" s="351"/>
      <c r="S27" s="94">
        <f>IF($E$7="No","n/a",SUM($R$12:$R$25))</f>
        <v>0</v>
      </c>
      <c r="T27" s="77"/>
      <c r="U27" s="1"/>
      <c r="V27" s="4"/>
      <c r="W27" s="287"/>
      <c r="X27" s="287"/>
      <c r="Y27" s="287"/>
      <c r="Z27" s="287"/>
      <c r="AA27" s="287"/>
      <c r="AB27" s="287"/>
      <c r="AC27" s="287"/>
      <c r="AD27" s="287"/>
      <c r="AE27" s="287"/>
      <c r="AF27" s="287"/>
      <c r="AG27" s="287"/>
      <c r="AH27" s="287"/>
      <c r="AI27" s="287"/>
    </row>
    <row r="28" spans="1:35" s="3" customFormat="1" ht="27.75" customHeight="1" x14ac:dyDescent="0.25">
      <c r="A28" s="43"/>
      <c r="B28" s="355" t="s">
        <v>384</v>
      </c>
      <c r="C28" s="356"/>
      <c r="D28" s="356"/>
      <c r="E28" s="357"/>
      <c r="F28" s="96">
        <f>IF(AND($E$5="surface area", $E$7="No"),"n/a",SUM(E12:E25))</f>
        <v>0</v>
      </c>
      <c r="G28" s="77"/>
      <c r="H28" s="287"/>
      <c r="I28" s="287"/>
      <c r="J28" s="287"/>
      <c r="K28" s="287"/>
      <c r="L28" s="75"/>
      <c r="M28" s="76"/>
      <c r="N28" s="76"/>
      <c r="O28" s="76"/>
      <c r="P28" s="76"/>
      <c r="Q28" s="351" t="s">
        <v>374</v>
      </c>
      <c r="R28" s="351"/>
      <c r="S28" s="94">
        <f>IF($E$7="No","n/a",SUM($S$12:$S$25))</f>
        <v>0</v>
      </c>
      <c r="T28" s="77"/>
      <c r="U28" s="1"/>
      <c r="V28" s="4"/>
      <c r="W28" s="287"/>
      <c r="X28" s="287"/>
      <c r="Y28" s="287"/>
      <c r="Z28" s="287"/>
      <c r="AA28" s="287"/>
      <c r="AB28" s="287"/>
      <c r="AC28" s="287"/>
      <c r="AD28" s="287"/>
      <c r="AE28" s="287"/>
      <c r="AF28" s="287"/>
      <c r="AG28" s="287"/>
      <c r="AH28" s="287"/>
      <c r="AI28" s="287"/>
    </row>
    <row r="29" spans="1:35" s="3" customFormat="1" ht="30" customHeight="1" x14ac:dyDescent="0.25">
      <c r="A29" s="43"/>
      <c r="B29" s="91" t="s">
        <v>385</v>
      </c>
      <c r="C29" s="91"/>
      <c r="D29" s="91"/>
      <c r="E29" s="91"/>
      <c r="F29" s="96" cm="1">
        <f t="array" ref="F29">IF(($E$5="surface area"),"n/a",SUMPRODUCT(E12:E25,_xlfn.XLOOKUP(H12:H25,reportingTypeOptionsList,reportingTypeCompliantList,0)))</f>
        <v>0</v>
      </c>
      <c r="G29" s="77"/>
      <c r="H29" s="287"/>
      <c r="I29" s="287"/>
      <c r="J29" s="287"/>
      <c r="K29" s="287"/>
      <c r="L29" s="75"/>
      <c r="M29" s="76"/>
      <c r="N29" s="76"/>
      <c r="O29" s="76"/>
      <c r="P29" s="76"/>
      <c r="Q29" s="351" t="s">
        <v>376</v>
      </c>
      <c r="R29" s="351"/>
      <c r="S29" s="95" t="str">
        <f>IF($E$7="No","n/a",IF(S28&lt;=S27,"Yes","No"))</f>
        <v>Yes</v>
      </c>
      <c r="T29" s="77"/>
      <c r="U29" s="1"/>
      <c r="V29" s="4"/>
      <c r="W29" s="287"/>
      <c r="X29" s="287"/>
      <c r="Y29" s="287"/>
      <c r="Z29" s="287"/>
      <c r="AA29" s="287"/>
      <c r="AB29" s="287"/>
      <c r="AC29" s="287"/>
      <c r="AD29" s="287"/>
      <c r="AE29" s="287"/>
      <c r="AF29" s="287"/>
      <c r="AG29" s="287"/>
      <c r="AH29" s="287"/>
      <c r="AI29" s="287"/>
    </row>
    <row r="30" spans="1:35" s="3" customFormat="1" ht="30" customHeight="1" x14ac:dyDescent="0.25">
      <c r="A30" s="43"/>
      <c r="B30" s="91" t="s">
        <v>386</v>
      </c>
      <c r="C30" s="91"/>
      <c r="D30" s="91"/>
      <c r="E30" s="91"/>
      <c r="F30" s="141">
        <f>IF(($E$5="surface area"),("n/a"), IFERROR($F29/$F28,0))</f>
        <v>0</v>
      </c>
      <c r="G30" s="77"/>
      <c r="H30" s="287"/>
      <c r="I30" s="287"/>
      <c r="J30" s="287"/>
      <c r="K30" s="287"/>
      <c r="L30" s="75"/>
      <c r="M30" s="76"/>
      <c r="N30" s="76"/>
      <c r="O30" s="76"/>
      <c r="P30" s="76"/>
      <c r="Q30" s="78"/>
      <c r="R30" s="78"/>
      <c r="S30"/>
      <c r="T30"/>
      <c r="U30"/>
      <c r="V30" s="4"/>
      <c r="W30" s="287"/>
      <c r="X30" s="287"/>
      <c r="Y30" s="287"/>
      <c r="Z30" s="287"/>
      <c r="AA30" s="287"/>
      <c r="AB30" s="287"/>
      <c r="AC30" s="287"/>
      <c r="AD30" s="287"/>
      <c r="AE30" s="287"/>
      <c r="AF30" s="287"/>
      <c r="AG30" s="287"/>
      <c r="AH30" s="287"/>
      <c r="AI30" s="287"/>
    </row>
    <row r="31" spans="1:35" s="3" customFormat="1" ht="27" customHeight="1" x14ac:dyDescent="0.25">
      <c r="A31" s="43"/>
      <c r="B31" s="355" t="s">
        <v>378</v>
      </c>
      <c r="C31" s="356"/>
      <c r="D31" s="356"/>
      <c r="E31" s="357"/>
      <c r="F31" s="101">
        <f>IF($E$5="surface area","n/a", IF(AND($E$5="volume", $E$7="No"),(SUMIFS(E12:E25,M12:M25,"&lt;&gt;Does not meet criteria",M12:M25,"&lt;&gt;", N12:N25,"&lt;&gt;", O12:O25,"&lt;&gt;", P12:P25, "Yes")), IF(AND($E$7="Yes", $S$29="Yes"),SUMIFS(E12:E25,M12:M25,"&lt;&gt;Does not meet criteria",M12:M25,"&lt;&gt;", N12:N25,"&lt;&gt;", O12:O25,"&lt;&gt;"),0)))</f>
        <v>0</v>
      </c>
      <c r="G31" s="77"/>
      <c r="H31" s="287"/>
      <c r="I31" s="287"/>
      <c r="J31" s="287"/>
      <c r="K31" s="287"/>
      <c r="L31" s="75"/>
      <c r="M31" s="76"/>
      <c r="N31" s="76"/>
      <c r="O31" s="76"/>
      <c r="P31" s="76"/>
      <c r="Q31" s="76"/>
      <c r="R31" s="76"/>
      <c r="S31"/>
      <c r="T31"/>
      <c r="U31"/>
      <c r="V31" s="4"/>
      <c r="W31" s="287"/>
      <c r="X31" s="287"/>
      <c r="Y31" s="287"/>
      <c r="Z31" s="287"/>
      <c r="AA31" s="287"/>
      <c r="AB31" s="287"/>
      <c r="AC31" s="287"/>
      <c r="AD31" s="287"/>
      <c r="AE31" s="287"/>
      <c r="AF31" s="287"/>
      <c r="AG31" s="287"/>
      <c r="AH31" s="287"/>
      <c r="AI31" s="287"/>
    </row>
    <row r="32" spans="1:35" s="3" customFormat="1" ht="24" customHeight="1" x14ac:dyDescent="0.25">
      <c r="A32" s="43"/>
      <c r="B32" s="355" t="s">
        <v>387</v>
      </c>
      <c r="C32" s="356"/>
      <c r="D32" s="356"/>
      <c r="E32" s="357"/>
      <c r="F32" s="141">
        <f>IF($E$5="surface area",("n/a"),IFERROR($F31/$F28,0))</f>
        <v>0</v>
      </c>
      <c r="G32" s="77"/>
      <c r="H32" s="287"/>
      <c r="I32" s="287"/>
      <c r="J32" s="287"/>
      <c r="K32" s="287"/>
      <c r="L32" s="75"/>
      <c r="M32" s="76"/>
      <c r="N32" s="76"/>
      <c r="O32" s="76"/>
      <c r="P32" s="76"/>
      <c r="Q32" s="76"/>
      <c r="R32" s="76"/>
      <c r="S32"/>
      <c r="T32"/>
      <c r="U32"/>
      <c r="V32" s="4"/>
      <c r="W32" s="287"/>
      <c r="X32" s="287"/>
      <c r="Y32" s="287"/>
      <c r="Z32" s="287"/>
      <c r="AA32" s="287"/>
      <c r="AB32" s="287"/>
      <c r="AC32" s="287"/>
      <c r="AD32" s="287"/>
      <c r="AE32" s="287"/>
      <c r="AF32" s="287"/>
      <c r="AG32" s="287"/>
      <c r="AH32" s="287"/>
      <c r="AI32" s="287"/>
    </row>
    <row r="33" spans="1:35" s="3" customFormat="1" ht="21" customHeight="1" x14ac:dyDescent="0.25">
      <c r="A33" s="43"/>
      <c r="B33" s="82"/>
      <c r="C33" s="82"/>
      <c r="D33" s="82"/>
      <c r="E33" s="82"/>
      <c r="F33" s="17"/>
      <c r="G33" s="77"/>
      <c r="H33" s="287"/>
      <c r="I33" s="287"/>
      <c r="J33" s="287"/>
      <c r="K33" s="287"/>
      <c r="L33" s="75"/>
      <c r="M33" s="76"/>
      <c r="N33" s="76"/>
      <c r="O33" s="76"/>
      <c r="P33" s="76"/>
      <c r="Q33" s="76"/>
      <c r="R33" s="76"/>
      <c r="S33"/>
      <c r="T33"/>
      <c r="U33"/>
      <c r="V33" s="4"/>
      <c r="W33" s="287"/>
      <c r="X33" s="287"/>
      <c r="Y33" s="287"/>
      <c r="Z33" s="287"/>
      <c r="AA33" s="287"/>
      <c r="AB33" s="287"/>
      <c r="AC33" s="287"/>
      <c r="AD33" s="287"/>
      <c r="AE33" s="287"/>
      <c r="AF33" s="287"/>
      <c r="AG33" s="287"/>
      <c r="AH33" s="287"/>
      <c r="AI33" s="287"/>
    </row>
    <row r="34" spans="1:35" s="3" customFormat="1" ht="22.5" customHeight="1" x14ac:dyDescent="0.25">
      <c r="A34" s="43"/>
      <c r="B34" s="355" t="str">
        <f>"Total surface area of adhesives and sealants" &amp; IF(Instructions!$H$10="IP Units", " (sq ft)", IF(Instructions!$H$10="SI Units"," (sq m)"))</f>
        <v>Total surface area of adhesives and sealants (sq ft)</v>
      </c>
      <c r="C34" s="356"/>
      <c r="D34" s="356"/>
      <c r="E34" s="357"/>
      <c r="F34" s="96" t="str">
        <f>IF(($E$5="volume"),"n/a",SUM(F12:F25))</f>
        <v>n/a</v>
      </c>
      <c r="G34" s="77"/>
      <c r="H34" s="287"/>
      <c r="I34" s="287"/>
      <c r="J34" s="287"/>
      <c r="K34" s="287"/>
      <c r="L34" s="75"/>
      <c r="M34" s="76"/>
      <c r="N34" s="76"/>
      <c r="O34" s="76"/>
      <c r="P34" s="76"/>
      <c r="Q34" s="76"/>
      <c r="R34" s="76"/>
      <c r="S34"/>
      <c r="T34"/>
      <c r="U34"/>
      <c r="V34" s="4"/>
      <c r="W34" s="287"/>
      <c r="X34" s="287"/>
      <c r="Y34" s="287"/>
      <c r="Z34" s="287"/>
      <c r="AA34" s="287"/>
      <c r="AB34" s="287"/>
      <c r="AC34" s="287"/>
      <c r="AD34" s="287"/>
      <c r="AE34" s="287"/>
      <c r="AF34" s="287"/>
      <c r="AG34" s="287"/>
      <c r="AH34" s="287"/>
      <c r="AI34" s="287"/>
    </row>
    <row r="35" spans="1:35" s="3" customFormat="1" ht="21" customHeight="1" x14ac:dyDescent="0.25">
      <c r="A35" s="43"/>
      <c r="B35" s="91" t="str">
        <f>"Surface area of adhesives and sealants compliant with VOC emissions evaluation" &amp; IF(Instructions!$H$10="IP Units", " (sq ft)", IF(Instructions!$H$10="SI Units"," (sq m)"))</f>
        <v>Surface area of adhesives and sealants compliant with VOC emissions evaluation (sq ft)</v>
      </c>
      <c r="C35" s="91"/>
      <c r="D35" s="91"/>
      <c r="E35" s="91"/>
      <c r="F35" s="96" t="str" cm="1">
        <f t="array" ref="F35">IF($E$5="volume","n/a",SUMPRODUCT(F12:F25,_xlfn.XLOOKUP(H12:H25,reportingTypeOptionsList,reportingTypeCompliantList,0)))</f>
        <v>n/a</v>
      </c>
      <c r="G35" s="77"/>
      <c r="H35" s="287"/>
      <c r="I35" s="287"/>
      <c r="J35" s="287"/>
      <c r="K35" s="287"/>
      <c r="L35" s="75"/>
      <c r="M35" s="76"/>
      <c r="N35" s="76"/>
      <c r="O35" s="76"/>
      <c r="P35" s="76"/>
      <c r="Q35" s="76"/>
      <c r="R35" s="76"/>
      <c r="S35"/>
      <c r="T35"/>
      <c r="U35"/>
      <c r="V35" s="4"/>
      <c r="W35" s="287"/>
      <c r="X35" s="287"/>
      <c r="Y35" s="287"/>
      <c r="Z35" s="287"/>
      <c r="AA35" s="287"/>
      <c r="AB35" s="287"/>
      <c r="AC35" s="287"/>
      <c r="AD35" s="287"/>
      <c r="AE35" s="287"/>
      <c r="AF35" s="287"/>
      <c r="AG35" s="287"/>
      <c r="AH35" s="287"/>
      <c r="AI35" s="287"/>
    </row>
    <row r="36" spans="1:35" s="3" customFormat="1" ht="21" customHeight="1" x14ac:dyDescent="0.25">
      <c r="A36" s="43"/>
      <c r="B36" s="91" t="s">
        <v>388</v>
      </c>
      <c r="C36" s="91"/>
      <c r="D36" s="91"/>
      <c r="E36" s="91"/>
      <c r="F36" s="141" t="str">
        <f>IF(($E$5="volume"),("n/a"), IFERROR($F35/$F34,0))</f>
        <v>n/a</v>
      </c>
      <c r="G36" s="77"/>
      <c r="H36" s="287"/>
      <c r="I36" s="287"/>
      <c r="J36" s="287"/>
      <c r="K36" s="287"/>
      <c r="L36" s="75"/>
      <c r="M36" s="76"/>
      <c r="N36" s="76"/>
      <c r="O36" s="76"/>
      <c r="P36" s="76"/>
      <c r="Q36" s="76"/>
      <c r="R36" s="76"/>
      <c r="S36"/>
      <c r="T36"/>
      <c r="U36"/>
      <c r="V36" s="4"/>
      <c r="W36" s="287"/>
      <c r="X36" s="287"/>
      <c r="Y36" s="287"/>
      <c r="Z36" s="287"/>
      <c r="AA36" s="287"/>
      <c r="AB36" s="287"/>
      <c r="AC36" s="287"/>
      <c r="AD36" s="287"/>
      <c r="AE36" s="287"/>
      <c r="AF36" s="287"/>
      <c r="AG36" s="287"/>
      <c r="AH36" s="287"/>
      <c r="AI36" s="287"/>
    </row>
    <row r="37" spans="1:35" s="3" customFormat="1" ht="21" customHeight="1" x14ac:dyDescent="0.25">
      <c r="A37" s="43"/>
      <c r="B37" s="91" t="str">
        <f>"Surface area of adhesives and sealants compliant with VOC content evaluation" &amp; IF(Instructions!$H$10="IP Units", " (sq ft)", IF(Instructions!$H$10="SI Units"," (sq m)"))</f>
        <v>Surface area of adhesives and sealants compliant with VOC content evaluation (sq ft)</v>
      </c>
      <c r="C37" s="91"/>
      <c r="D37" s="91"/>
      <c r="E37" s="91"/>
      <c r="F37" s="96" t="str">
        <f>IF($E$5="volume","n/a", IF(AND($E$5="surface area", $E$7="No"),(SUMIFS(F12:F25,M12:M25,"&lt;&gt;Does not meet criteria",M12:M25,"&lt;&gt;", N12:N25,"&lt;&gt;", O12:O25,"&lt;&gt;", P12:P25, "Yes")), IF(AND($E$7="Yes", $S$29="Yes"),SUMIFS(F12:F25,M12:M25,"&lt;&gt;Does not meet criteria",M12:M25,"&lt;&gt;", N12:N25,"&lt;&gt;", O12:O25,"&lt;&gt;"),0)))</f>
        <v>n/a</v>
      </c>
      <c r="G37" s="77"/>
      <c r="H37" s="287"/>
      <c r="I37" s="287"/>
      <c r="J37" s="287"/>
      <c r="K37" s="287"/>
      <c r="L37" s="75"/>
      <c r="M37" s="76"/>
      <c r="N37" s="76"/>
      <c r="O37" s="76"/>
      <c r="P37" s="76"/>
      <c r="Q37" s="76"/>
      <c r="R37" s="76"/>
      <c r="S37"/>
      <c r="T37"/>
      <c r="U37"/>
      <c r="V37" s="4"/>
      <c r="W37" s="287"/>
      <c r="X37" s="287"/>
      <c r="Y37" s="287"/>
      <c r="Z37" s="287"/>
      <c r="AA37" s="287"/>
      <c r="AB37" s="287"/>
      <c r="AC37" s="287"/>
      <c r="AD37" s="287"/>
      <c r="AE37" s="287"/>
      <c r="AF37" s="287"/>
      <c r="AG37" s="287"/>
      <c r="AH37" s="287"/>
      <c r="AI37" s="287"/>
    </row>
    <row r="38" spans="1:35" s="3" customFormat="1" ht="21" customHeight="1" x14ac:dyDescent="0.25">
      <c r="A38" s="43"/>
      <c r="B38" s="355" t="s">
        <v>381</v>
      </c>
      <c r="C38" s="356"/>
      <c r="D38" s="356"/>
      <c r="E38" s="357"/>
      <c r="F38" s="141" t="str">
        <f>IF(($E$5="volume"),("n/a"),IFERROR($F37/$F34,0))</f>
        <v>n/a</v>
      </c>
      <c r="G38" s="77"/>
      <c r="H38" s="287"/>
      <c r="I38" s="287"/>
      <c r="J38" s="287"/>
      <c r="K38" s="287"/>
      <c r="L38" s="75"/>
      <c r="M38" s="76"/>
      <c r="N38" s="76"/>
      <c r="O38" s="76"/>
      <c r="P38" s="76"/>
      <c r="Q38" s="76"/>
      <c r="R38" s="76"/>
      <c r="S38"/>
      <c r="T38"/>
      <c r="U38"/>
      <c r="V38" s="4"/>
      <c r="W38" s="287"/>
      <c r="X38" s="287"/>
      <c r="Y38" s="287"/>
      <c r="Z38" s="287"/>
      <c r="AA38" s="287"/>
      <c r="AB38" s="287"/>
      <c r="AC38" s="287"/>
      <c r="AD38" s="287"/>
      <c r="AE38" s="287"/>
      <c r="AF38" s="287"/>
      <c r="AG38" s="287"/>
      <c r="AH38" s="287"/>
      <c r="AI38" s="287"/>
    </row>
    <row r="39" spans="1:35" s="3" customFormat="1" ht="21" customHeight="1" x14ac:dyDescent="0.25">
      <c r="A39" s="43"/>
      <c r="B39" s="17"/>
      <c r="C39" s="17"/>
      <c r="D39" s="17"/>
      <c r="E39" s="17"/>
      <c r="F39" s="17"/>
      <c r="G39" s="77"/>
      <c r="H39" s="287"/>
      <c r="I39" s="287"/>
      <c r="J39" s="287"/>
      <c r="K39" s="287"/>
      <c r="L39" s="75"/>
      <c r="M39" s="76"/>
      <c r="N39" s="76"/>
      <c r="O39" s="76"/>
      <c r="P39" s="76"/>
      <c r="Q39" s="76"/>
      <c r="R39" s="76"/>
      <c r="S39"/>
      <c r="T39"/>
      <c r="U39"/>
      <c r="V39" s="4"/>
      <c r="W39" s="287"/>
      <c r="X39" s="287"/>
      <c r="Y39" s="287"/>
      <c r="Z39" s="287"/>
      <c r="AA39" s="287"/>
      <c r="AB39" s="287"/>
      <c r="AC39" s="287"/>
      <c r="AD39" s="287"/>
      <c r="AE39" s="287"/>
      <c r="AF39" s="287"/>
      <c r="AG39" s="287"/>
      <c r="AH39" s="287"/>
      <c r="AI39" s="287"/>
    </row>
    <row r="40" spans="1:35" s="3" customFormat="1" ht="21" customHeight="1" x14ac:dyDescent="0.25">
      <c r="A40" s="43"/>
      <c r="B40" s="91" t="s">
        <v>389</v>
      </c>
      <c r="C40" s="91"/>
      <c r="D40" s="91"/>
      <c r="E40" s="91"/>
      <c r="F40" s="116" t="str">
        <f>S29</f>
        <v>Yes</v>
      </c>
      <c r="G40" s="77"/>
      <c r="H40" s="287"/>
      <c r="I40" s="287"/>
      <c r="J40" s="287"/>
      <c r="K40" s="287"/>
      <c r="L40" s="75"/>
      <c r="M40" s="76"/>
      <c r="N40" s="76"/>
      <c r="O40" s="76"/>
      <c r="P40" s="76"/>
      <c r="Q40" s="76"/>
      <c r="R40" s="76"/>
      <c r="S40"/>
      <c r="T40"/>
      <c r="U40"/>
      <c r="V40" s="4"/>
      <c r="W40" s="287"/>
      <c r="X40" s="287"/>
      <c r="Y40" s="287"/>
      <c r="Z40" s="287"/>
      <c r="AA40" s="287"/>
      <c r="AB40" s="287"/>
      <c r="AC40" s="287"/>
      <c r="AD40" s="287"/>
      <c r="AE40" s="287"/>
      <c r="AF40" s="287"/>
      <c r="AG40" s="287"/>
      <c r="AH40" s="287"/>
      <c r="AI40" s="287"/>
    </row>
    <row r="41" spans="1:35" s="58" customFormat="1" ht="32.25" customHeight="1" x14ac:dyDescent="0.25">
      <c r="G41" s="17"/>
      <c r="L41"/>
      <c r="M41"/>
      <c r="N41"/>
      <c r="O41"/>
      <c r="P41"/>
      <c r="S41"/>
      <c r="T41"/>
      <c r="U41"/>
      <c r="V41" s="79"/>
    </row>
    <row r="42" spans="1:35" s="58" customFormat="1" ht="37.5" customHeight="1" x14ac:dyDescent="0.25">
      <c r="D42" s="80"/>
      <c r="E42" s="80"/>
      <c r="L42"/>
      <c r="M42"/>
      <c r="N42"/>
      <c r="O42"/>
      <c r="P42"/>
      <c r="S42"/>
      <c r="T42"/>
      <c r="U42"/>
      <c r="V42" s="79"/>
    </row>
    <row r="43" spans="1:35" s="58" customFormat="1" ht="39" customHeight="1" x14ac:dyDescent="0.25">
      <c r="L43"/>
      <c r="M43"/>
      <c r="N43"/>
      <c r="O43"/>
      <c r="P43"/>
      <c r="S43"/>
      <c r="T43"/>
      <c r="U43"/>
      <c r="V43" s="79"/>
    </row>
    <row r="44" spans="1:35" s="17" customFormat="1" ht="21" customHeight="1" x14ac:dyDescent="0.25">
      <c r="L44"/>
      <c r="M44"/>
      <c r="N44"/>
      <c r="O44"/>
      <c r="P44"/>
      <c r="Q44"/>
      <c r="R44"/>
      <c r="S44"/>
      <c r="T44"/>
      <c r="U44"/>
      <c r="V44" s="79"/>
    </row>
    <row r="45" spans="1:35" s="17" customFormat="1" ht="21" customHeight="1" x14ac:dyDescent="0.25">
      <c r="L45"/>
      <c r="M45"/>
      <c r="N45"/>
      <c r="O45"/>
      <c r="P45"/>
      <c r="Q45"/>
      <c r="R45"/>
      <c r="S45"/>
      <c r="T45"/>
      <c r="U45"/>
      <c r="V45" s="79"/>
    </row>
    <row r="46" spans="1:35" s="17" customFormat="1" ht="21" customHeight="1" x14ac:dyDescent="0.25">
      <c r="L46"/>
      <c r="M46"/>
      <c r="N46"/>
      <c r="O46"/>
      <c r="P46"/>
      <c r="Q46"/>
      <c r="R46"/>
      <c r="S46"/>
      <c r="T46"/>
      <c r="U46"/>
      <c r="V46" s="79"/>
    </row>
    <row r="47" spans="1:35" s="17" customFormat="1" ht="21" customHeight="1" x14ac:dyDescent="0.25">
      <c r="L47"/>
      <c r="M47"/>
      <c r="N47"/>
      <c r="O47"/>
      <c r="P47"/>
      <c r="Q47"/>
      <c r="R47"/>
      <c r="S47"/>
      <c r="T47"/>
      <c r="U47"/>
      <c r="V47" s="79"/>
    </row>
    <row r="48" spans="1:35" s="58" customFormat="1" ht="21" customHeight="1" x14ac:dyDescent="0.25">
      <c r="L48"/>
      <c r="M48"/>
      <c r="N48"/>
      <c r="O48"/>
      <c r="P48"/>
      <c r="Q48"/>
      <c r="R48"/>
      <c r="S48"/>
      <c r="T48"/>
      <c r="U48"/>
      <c r="V48" s="79"/>
    </row>
    <row r="49" spans="1:35" ht="21" customHeight="1" x14ac:dyDescent="0.25">
      <c r="A49" s="73"/>
      <c r="B49" s="73"/>
      <c r="C49" s="73"/>
      <c r="D49" s="73"/>
      <c r="E49" s="73"/>
      <c r="F49" s="73"/>
      <c r="G49" s="73"/>
      <c r="H49" s="73"/>
      <c r="I49" s="73"/>
      <c r="J49" s="73"/>
      <c r="K49" s="73"/>
      <c r="L49"/>
      <c r="M49"/>
      <c r="N49"/>
      <c r="O49"/>
      <c r="P49"/>
      <c r="Q49"/>
      <c r="R49"/>
      <c r="S49"/>
      <c r="T49"/>
      <c r="U49"/>
      <c r="W49" s="73"/>
      <c r="X49" s="73"/>
      <c r="Y49" s="73"/>
      <c r="Z49" s="73"/>
      <c r="AA49" s="73"/>
      <c r="AB49" s="73"/>
      <c r="AC49" s="73"/>
      <c r="AD49" s="73"/>
      <c r="AE49" s="73"/>
      <c r="AF49" s="73"/>
      <c r="AG49" s="73"/>
      <c r="AH49" s="73"/>
      <c r="AI49" s="73"/>
    </row>
    <row r="50" spans="1:35" ht="21" customHeight="1" x14ac:dyDescent="0.25">
      <c r="A50" s="73"/>
      <c r="B50" s="73"/>
      <c r="C50" s="73"/>
      <c r="D50" s="73"/>
      <c r="E50" s="73"/>
      <c r="F50" s="73"/>
      <c r="G50" s="73"/>
      <c r="H50" s="73"/>
      <c r="I50" s="73"/>
      <c r="J50" s="73"/>
      <c r="K50" s="73"/>
      <c r="L50"/>
      <c r="M50"/>
      <c r="N50"/>
      <c r="O50"/>
      <c r="P50"/>
      <c r="Q50"/>
      <c r="R50"/>
      <c r="S50"/>
      <c r="T50"/>
      <c r="U50"/>
      <c r="W50" s="73"/>
      <c r="X50" s="73"/>
      <c r="Y50" s="73"/>
      <c r="Z50" s="73"/>
      <c r="AA50" s="73"/>
      <c r="AB50" s="73"/>
      <c r="AC50" s="73"/>
      <c r="AD50" s="73"/>
      <c r="AE50" s="73"/>
      <c r="AF50" s="73"/>
      <c r="AG50" s="73"/>
      <c r="AH50" s="73"/>
      <c r="AI50" s="73"/>
    </row>
    <row r="51" spans="1:35" x14ac:dyDescent="0.25">
      <c r="A51" s="73"/>
      <c r="B51" s="73"/>
      <c r="C51" s="73"/>
      <c r="D51" s="73"/>
      <c r="E51" s="73"/>
      <c r="F51" s="73"/>
      <c r="G51" s="73"/>
      <c r="H51" s="73"/>
      <c r="I51" s="73"/>
      <c r="J51" s="73"/>
      <c r="K51" s="73"/>
      <c r="L51"/>
      <c r="M51"/>
      <c r="N51"/>
      <c r="O51"/>
      <c r="P51"/>
      <c r="Q51"/>
      <c r="R51"/>
      <c r="S51"/>
      <c r="T51"/>
      <c r="U51"/>
      <c r="W51" s="73"/>
      <c r="X51" s="73"/>
      <c r="Y51" s="73"/>
      <c r="Z51" s="73"/>
      <c r="AA51" s="73"/>
      <c r="AB51" s="73"/>
      <c r="AC51" s="73"/>
      <c r="AD51" s="73"/>
      <c r="AE51" s="73"/>
      <c r="AF51" s="73"/>
      <c r="AG51" s="73"/>
      <c r="AH51" s="73"/>
      <c r="AI51" s="73"/>
    </row>
  </sheetData>
  <sheetProtection algorithmName="SHA-512" hashValue="hVwLUr+ZY0wH7Z9Awwurt4NgHmupZvHTXh76JL/QtRgzNqxLWrYvfl0zVRyvdEJAVPlxSIrJ5qbNMsAghrzoTQ==" saltValue="efcfxPki/kMF80pVp9orKw==" spinCount="100000" sheet="1" objects="1" scenarios="1" formatColumns="0" formatRows="0"/>
  <mergeCells count="33">
    <mergeCell ref="K10:K11"/>
    <mergeCell ref="W9:X9"/>
    <mergeCell ref="Z9:AB9"/>
    <mergeCell ref="M10:M11"/>
    <mergeCell ref="N10:N11"/>
    <mergeCell ref="M9:S9"/>
    <mergeCell ref="U9:U11"/>
    <mergeCell ref="AA10:AA11"/>
    <mergeCell ref="AB10:AB11"/>
    <mergeCell ref="W10:W11"/>
    <mergeCell ref="X10:X11"/>
    <mergeCell ref="Z10:Z11"/>
    <mergeCell ref="Q27:R27"/>
    <mergeCell ref="B28:E28"/>
    <mergeCell ref="Q28:R28"/>
    <mergeCell ref="O10:O11"/>
    <mergeCell ref="P10:P11"/>
    <mergeCell ref="Q10:S10"/>
    <mergeCell ref="H10:H11"/>
    <mergeCell ref="M26:S26"/>
    <mergeCell ref="B9:B11"/>
    <mergeCell ref="C9:C11"/>
    <mergeCell ref="D9:D11"/>
    <mergeCell ref="E9:E11"/>
    <mergeCell ref="F9:F11"/>
    <mergeCell ref="H9:K9"/>
    <mergeCell ref="I10:I11"/>
    <mergeCell ref="J10:J11"/>
    <mergeCell ref="Q29:R29"/>
    <mergeCell ref="B31:E31"/>
    <mergeCell ref="B32:E32"/>
    <mergeCell ref="B34:E34"/>
    <mergeCell ref="B38:E38"/>
  </mergeCells>
  <conditionalFormatting sqref="E12:E25">
    <cfRule type="expression" dxfId="22" priority="8">
      <formula>AND($E$5="surface area", $E$7="No")</formula>
    </cfRule>
  </conditionalFormatting>
  <conditionalFormatting sqref="Q12:Q25">
    <cfRule type="expression" dxfId="21" priority="7">
      <formula>$E$7="No"</formula>
    </cfRule>
  </conditionalFormatting>
  <conditionalFormatting sqref="N12:N17 N19:N25">
    <cfRule type="expression" dxfId="20" priority="5">
      <formula>OR($M12="Does not meet criteria", $M12="Free of solvents, as defined in TRGS 610")</formula>
    </cfRule>
  </conditionalFormatting>
  <conditionalFormatting sqref="F12:F25">
    <cfRule type="expression" dxfId="19" priority="4">
      <formula>OR(AND($E$5="volume",$E$7="No"), AND($E$5="volume",$E$7="Yes"))</formula>
    </cfRule>
  </conditionalFormatting>
  <conditionalFormatting sqref="I12:K25">
    <cfRule type="expression" dxfId="18" priority="3">
      <formula>_xlfn.XLOOKUP($H12,reportingTypeOptionsList,reportingTypeAdditionalInfoList)=0</formula>
    </cfRule>
  </conditionalFormatting>
  <conditionalFormatting sqref="N18">
    <cfRule type="expression" dxfId="17" priority="2">
      <formula>$E$7="No"</formula>
    </cfRule>
  </conditionalFormatting>
  <conditionalFormatting sqref="M18">
    <cfRule type="expression" dxfId="16" priority="1">
      <formula>$M18="Does not meet criteria"</formula>
    </cfRule>
  </conditionalFormatting>
  <dataValidations count="11">
    <dataValidation type="custom" allowBlank="1" showInputMessage="1" showErrorMessage="1" sqref="F12:F25" xr:uid="{00000000-0002-0000-0200-000000000000}">
      <formula1>OR(AND($E$5="volume", $E$7="Yes", ISNUMBER(F12)), AND($E$5="surface area", $E$7="Yes", ISNUMBER(F12)), AND($E$5="surface area", $E$7="No", ISNUMBER(F12)))</formula1>
    </dataValidation>
    <dataValidation type="custom" allowBlank="1" showInputMessage="1" showErrorMessage="1" sqref="N18 Q12:Q25" xr:uid="{00000000-0002-0000-0200-000001000000}">
      <formula1>AND($E$7="Yes", ISNUMBER(N12))</formula1>
    </dataValidation>
    <dataValidation type="custom" allowBlank="1" showInputMessage="1" showErrorMessage="1" sqref="E12:E25" xr:uid="{00000000-0002-0000-0200-000002000000}">
      <formula1>OR(AND($E$5="surface area", $E$7="Yes", ISNUMBER(E12)), AND($E$5="volume", $E$7="Yes", ISNUMBER(E12)), AND($E$5="volume", $E$7="No", ISNUMBER(E12)))</formula1>
    </dataValidation>
    <dataValidation type="custom" allowBlank="1" showInputMessage="1" showErrorMessage="1" sqref="F3" xr:uid="{00000000-0002-0000-0200-000003000000}">
      <formula1>IF(AND($E$5="surface area", $E$7="No"),0,OR(AND($E$5="surface area", $E$7="Yes", ISNUMBER(E12)), AND($E$5="volume", $E$7="Yes", ISNUMBER(E12)), AND($E$5="volume", $E$7="No", ISNUMBER(E12))))</formula1>
    </dataValidation>
    <dataValidation type="list" allowBlank="1" showInputMessage="1" showErrorMessage="1" sqref="E7 P12:P25" xr:uid="{00000000-0002-0000-0200-000004000000}">
      <formula1>"Yes, No"</formula1>
    </dataValidation>
    <dataValidation type="list" allowBlank="1" showInputMessage="1" showErrorMessage="1" sqref="E5" xr:uid="{00000000-0002-0000-0200-000005000000}">
      <formula1>"surface area, volume"</formula1>
    </dataValidation>
    <dataValidation type="list" allowBlank="1" showInputMessage="1" showErrorMessage="1" sqref="I12:I25" xr:uid="{00000000-0002-0000-0200-000006000000}">
      <formula1>INDIRECT(_xlfn.XLOOKUP(H12,reportingTypeOptionsList,reportingTypeListsList))</formula1>
    </dataValidation>
    <dataValidation type="list" allowBlank="1" showInputMessage="1" showErrorMessage="1" sqref="N12:N17 N19:N25" xr:uid="{00000000-0002-0000-0200-000008000000}">
      <formula1>INDIRECT(VLOOKUP(M12,VOCList2,2,FALSE))</formula1>
    </dataValidation>
    <dataValidation type="date" errorStyle="information" allowBlank="1" showInputMessage="1" showErrorMessage="1" error="Invalid date - check format and ensure it is before Certification Period End Date" sqref="J12:J25" xr:uid="{26381978-DE92-42B5-8498-128D046FC892}">
      <formula1>1</formula1>
      <formula2>K12</formula2>
    </dataValidation>
    <dataValidation type="date" errorStyle="information" allowBlank="1" showInputMessage="1" showErrorMessage="1" error="Invalid date - check format and ensure it is after Certification Period Start Date" sqref="K12:K25" xr:uid="{834BA2AA-D50B-46A5-A21E-58DDE9151C9B}">
      <formula1>J12</formula1>
      <formula2>73051</formula2>
    </dataValidation>
    <dataValidation type="list" allowBlank="1" showInputMessage="1" showErrorMessage="1" sqref="H12:H25" xr:uid="{D55B1C51-0328-4045-9A67-56C67D199309}">
      <formula1>reportingTypeOptionsList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ddA">
                <anchor moveWithCells="1">
                  <from>
                    <xdr:col>1</xdr:col>
                    <xdr:colOff>9525</xdr:colOff>
                    <xdr:row>40</xdr:row>
                    <xdr:rowOff>180975</xdr:rowOff>
                  </from>
                  <to>
                    <xdr:col>1</xdr:col>
                    <xdr:colOff>1400175</xdr:colOff>
                    <xdr:row>41</xdr:row>
                    <xdr:rowOff>38100</xdr:rowOff>
                  </to>
                </anchor>
              </controlPr>
            </control>
          </mc:Choice>
        </mc:AlternateContent>
        <mc:AlternateContent xmlns:mc="http://schemas.openxmlformats.org/markup-compatibility/2006">
          <mc:Choice Requires="x14">
            <control shapeId="12290" r:id="rId5" name="Button 2">
              <controlPr defaultSize="0" print="0" autoFill="0" autoPict="0" macro="[0]!DeleteRow">
                <anchor moveWithCells="1">
                  <from>
                    <xdr:col>3</xdr:col>
                    <xdr:colOff>838200</xdr:colOff>
                    <xdr:row>40</xdr:row>
                    <xdr:rowOff>180975</xdr:rowOff>
                  </from>
                  <to>
                    <xdr:col>4</xdr:col>
                    <xdr:colOff>1209675</xdr:colOff>
                    <xdr:row>41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1188690-7AFE-411E-916C-D236873D77D0}">
          <x14:formula1>
            <xm:f>Instructions!$M$334:$M$336</xm:f>
          </x14:formula1>
          <xm:sqref>M12:M25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41"/>
  <sheetViews>
    <sheetView showGridLines="0" zoomScale="80" zoomScaleNormal="80" zoomScalePageLayoutView="80" workbookViewId="0">
      <pane ySplit="9" topLeftCell="A10" activePane="bottomLeft" state="frozen"/>
      <selection activeCell="F30" sqref="F30"/>
      <selection pane="bottomLeft" activeCell="E5" sqref="E5"/>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10" width="29.7109375" style="2" customWidth="1"/>
    <col min="11" max="11" width="2.42578125" style="2" customWidth="1"/>
    <col min="12" max="12" width="45.85546875" style="2" customWidth="1"/>
    <col min="13" max="13" width="4" style="4" customWidth="1"/>
    <col min="14" max="15" width="13.28515625" style="2" hidden="1" customWidth="1"/>
    <col min="16" max="16" width="5.7109375" style="2" hidden="1" customWidth="1"/>
    <col min="17" max="18" width="12.42578125" style="2" hidden="1" customWidth="1"/>
    <col min="19" max="19" width="13" style="2" hidden="1" customWidth="1"/>
    <col min="20" max="16384" width="8.85546875" style="2"/>
  </cols>
  <sheetData>
    <row r="1" spans="1:19" ht="15" customHeight="1" x14ac:dyDescent="0.2">
      <c r="A1" s="285"/>
      <c r="B1" s="285"/>
      <c r="C1" s="285"/>
      <c r="D1" s="285"/>
      <c r="E1" s="285"/>
      <c r="F1" s="285"/>
      <c r="G1" s="285"/>
      <c r="H1" s="285"/>
      <c r="I1" s="285"/>
      <c r="J1" s="285"/>
      <c r="K1" s="285"/>
      <c r="L1" s="285"/>
      <c r="M1" s="73"/>
      <c r="N1" s="73"/>
      <c r="O1" s="73"/>
      <c r="P1" s="73"/>
      <c r="Q1" s="73"/>
      <c r="R1" s="73"/>
      <c r="S1" s="73"/>
    </row>
    <row r="2" spans="1:19" ht="20.25" customHeight="1" x14ac:dyDescent="0.2">
      <c r="A2" s="5"/>
      <c r="B2" s="6" t="s">
        <v>390</v>
      </c>
      <c r="C2" s="6"/>
      <c r="D2" s="7"/>
      <c r="E2" s="7"/>
      <c r="F2" s="8"/>
      <c r="G2" s="7"/>
      <c r="H2" s="7"/>
      <c r="I2" s="7"/>
      <c r="J2" s="7"/>
      <c r="K2" s="7"/>
      <c r="L2" s="7"/>
      <c r="M2" s="73"/>
      <c r="N2" s="73"/>
      <c r="O2" s="73"/>
      <c r="P2" s="73"/>
      <c r="Q2" s="73"/>
      <c r="R2" s="73"/>
      <c r="S2" s="73"/>
    </row>
    <row r="3" spans="1:19" ht="15.75" customHeight="1" x14ac:dyDescent="0.2">
      <c r="A3" s="285"/>
      <c r="B3" s="285"/>
      <c r="C3" s="285"/>
      <c r="D3" s="285"/>
      <c r="E3" s="285"/>
      <c r="F3" s="285"/>
      <c r="G3" s="285"/>
      <c r="H3" s="285"/>
      <c r="I3" s="285"/>
      <c r="J3" s="285"/>
      <c r="K3" s="285"/>
      <c r="L3" s="285"/>
      <c r="M3" s="73"/>
      <c r="N3" s="73"/>
      <c r="O3" s="73"/>
      <c r="P3" s="73"/>
      <c r="Q3" s="73"/>
      <c r="R3" s="73"/>
      <c r="S3" s="73"/>
    </row>
    <row r="4" spans="1:19" ht="22.5" customHeight="1" x14ac:dyDescent="0.25">
      <c r="A4" s="73"/>
      <c r="B4" s="73"/>
      <c r="C4" s="73"/>
      <c r="D4" s="73"/>
      <c r="E4" s="73"/>
      <c r="F4" s="73"/>
      <c r="G4" s="73"/>
      <c r="H4" s="73"/>
      <c r="I4" s="73"/>
      <c r="J4" s="73"/>
      <c r="K4" s="73"/>
      <c r="L4" s="73"/>
      <c r="N4" s="73"/>
      <c r="O4" s="73"/>
      <c r="P4" s="73"/>
      <c r="Q4" s="73"/>
      <c r="R4" s="73"/>
      <c r="S4" s="73"/>
    </row>
    <row r="5" spans="1:19" ht="15.6" customHeight="1" x14ac:dyDescent="0.25">
      <c r="A5" s="73"/>
      <c r="B5" s="73" t="s">
        <v>337</v>
      </c>
      <c r="C5" s="73"/>
      <c r="D5" s="73"/>
      <c r="E5" s="114" t="s">
        <v>402</v>
      </c>
      <c r="F5" s="73"/>
      <c r="G5" s="73"/>
      <c r="H5" s="73"/>
      <c r="I5" s="73"/>
      <c r="J5" s="73"/>
      <c r="K5" s="73"/>
      <c r="L5" s="73"/>
      <c r="N5" s="73"/>
      <c r="O5" s="73"/>
      <c r="P5" s="73"/>
      <c r="Q5" s="73"/>
      <c r="R5" s="73"/>
      <c r="S5" s="73"/>
    </row>
    <row r="6" spans="1:19" ht="15.75" customHeight="1" x14ac:dyDescent="0.25">
      <c r="A6" s="73"/>
      <c r="B6" s="73"/>
      <c r="C6" s="73"/>
      <c r="D6" s="73"/>
      <c r="E6" s="73"/>
      <c r="F6" s="73"/>
      <c r="G6" s="73"/>
      <c r="H6" s="73"/>
      <c r="I6" s="73"/>
      <c r="J6" s="73"/>
      <c r="K6" s="73"/>
      <c r="L6" s="73"/>
      <c r="N6" s="73"/>
      <c r="O6" s="73"/>
      <c r="P6" s="73"/>
      <c r="Q6" s="73"/>
      <c r="R6" s="73"/>
      <c r="S6" s="73"/>
    </row>
    <row r="7" spans="1:19" ht="22.5" customHeight="1" x14ac:dyDescent="0.25">
      <c r="A7" s="73"/>
      <c r="B7" s="73"/>
      <c r="C7" s="73"/>
      <c r="D7" s="73"/>
      <c r="E7" s="73"/>
      <c r="F7" s="73"/>
      <c r="G7" s="73"/>
      <c r="H7" s="73"/>
      <c r="I7" s="73"/>
      <c r="J7" s="73"/>
      <c r="K7" s="73"/>
      <c r="L7" s="73"/>
      <c r="N7" s="73"/>
      <c r="O7" s="73"/>
      <c r="P7" s="73"/>
      <c r="Q7" s="73"/>
      <c r="R7" s="73"/>
      <c r="S7" s="73"/>
    </row>
    <row r="8" spans="1:19" ht="24.75" customHeight="1" x14ac:dyDescent="0.25">
      <c r="A8" s="73"/>
      <c r="B8" s="351" t="s">
        <v>341</v>
      </c>
      <c r="C8" s="351" t="s">
        <v>342</v>
      </c>
      <c r="D8" s="351" t="s">
        <v>343</v>
      </c>
      <c r="E8" s="351" t="s">
        <v>392</v>
      </c>
      <c r="F8" s="351" t="str">
        <f>"Product surface area" &amp; IF(Instructions!$H$10="IP Units", " (sq ft)", IF(Instructions!$H$10="SI Units"," (sq m)"))</f>
        <v>Product surface area (sq ft)</v>
      </c>
      <c r="G8" s="348" t="s">
        <v>348</v>
      </c>
      <c r="H8" s="348" t="s">
        <v>349</v>
      </c>
      <c r="I8" s="348" t="s">
        <v>350</v>
      </c>
      <c r="J8" s="348" t="s">
        <v>351</v>
      </c>
      <c r="K8" s="273"/>
      <c r="L8" s="351" t="s">
        <v>393</v>
      </c>
      <c r="N8" s="345" t="s">
        <v>356</v>
      </c>
      <c r="O8" s="345" t="s">
        <v>357</v>
      </c>
      <c r="P8" s="73"/>
      <c r="Q8" s="347" t="s">
        <v>358</v>
      </c>
      <c r="R8" s="347" t="s">
        <v>359</v>
      </c>
      <c r="S8" s="344" t="s">
        <v>360</v>
      </c>
    </row>
    <row r="9" spans="1:19" ht="51" customHeight="1" x14ac:dyDescent="0.25">
      <c r="A9" s="73"/>
      <c r="B9" s="351"/>
      <c r="C9" s="351"/>
      <c r="D9" s="351"/>
      <c r="E9" s="351"/>
      <c r="F9" s="351"/>
      <c r="G9" s="348"/>
      <c r="H9" s="348"/>
      <c r="I9" s="348"/>
      <c r="J9" s="348"/>
      <c r="K9" s="274"/>
      <c r="L9" s="351"/>
      <c r="N9" s="346"/>
      <c r="O9" s="346"/>
      <c r="P9" s="73"/>
      <c r="Q9" s="347"/>
      <c r="R9" s="347"/>
      <c r="S9" s="344"/>
    </row>
    <row r="10" spans="1:19" s="50" customFormat="1" ht="13.9" customHeight="1" x14ac:dyDescent="0.25">
      <c r="A10" s="48">
        <f t="shared" ref="A10:A18" si="0">IF(D10&gt;=0,0,0)</f>
        <v>0</v>
      </c>
      <c r="B10" s="83"/>
      <c r="C10" s="83"/>
      <c r="D10" s="99"/>
      <c r="E10" s="99"/>
      <c r="F10" s="99"/>
      <c r="G10" s="84"/>
      <c r="H10" s="89"/>
      <c r="I10" s="314"/>
      <c r="J10" s="314"/>
      <c r="K10" s="274"/>
      <c r="L10" s="89"/>
      <c r="M10" s="49"/>
      <c r="N10" s="51" t="e">
        <f>IF(AND(#REF!="composite wood",(COUNTIF(#REF!,"Y")+COUNTIF(#REF!,"Y")+COUNTIF(#REF!,"Y")+COUNTIF(#REF!,"Y"))=0),"Yes","No")</f>
        <v>#REF!</v>
      </c>
      <c r="O10" s="51" t="e">
        <f>IF(AND(N10="Yes",#REF!="Y"),1,0)</f>
        <v>#REF!</v>
      </c>
      <c r="Q10" s="52" t="e">
        <f>IF(#REF!="Inherently nonemitting",1,COUNTIF(#REF!,"Y")+COUNTIF(#REF!,"Y")+COUNTIF(#REF!,"Y")+COUNTIF(#REF!,"Y")+COUNTIF(#REF!,"Y"))</f>
        <v>#REF!</v>
      </c>
      <c r="R10" s="52" t="e">
        <f>IF(#REF!="Yes",1,COUNTIF(#REF!,"Y")+COUNTIF(#REF!,"Y")+COUNTIF(#REF!,"Y")+COUNTIF(#REF!,"Y")+COUNTIF(#REF!,"Y"))</f>
        <v>#REF!</v>
      </c>
      <c r="S10" s="53" t="e">
        <f>IF(AND(Q10&gt;0,R10=Q10),IF(AND(#REF!=0,#REF!=0),#REF!,IF(#REF!="Yes",#REF!,#REF!)),0)</f>
        <v>#REF!</v>
      </c>
    </row>
    <row r="11" spans="1:19" s="50" customFormat="1" ht="12" customHeight="1" x14ac:dyDescent="0.25">
      <c r="A11" s="48">
        <f t="shared" si="0"/>
        <v>0</v>
      </c>
      <c r="B11" s="83"/>
      <c r="C11" s="83"/>
      <c r="D11" s="99"/>
      <c r="E11" s="99"/>
      <c r="F11" s="99"/>
      <c r="G11" s="84"/>
      <c r="H11" s="89"/>
      <c r="I11" s="314"/>
      <c r="J11" s="314"/>
      <c r="K11" s="274"/>
      <c r="L11" s="89"/>
      <c r="M11" s="49"/>
      <c r="N11" s="56" t="e">
        <f>IF(AND(#REF!="composite wood",(COUNTIF(#REF!,"Y")+COUNTIF(#REF!,"Y")+COUNTIF(#REF!,"Y")+COUNTIF(#REF!,"Y"))=0),"Yes","No")</f>
        <v>#REF!</v>
      </c>
      <c r="O11" s="56" t="e">
        <f>IF(AND(N11="Yes",#REF!="Y"),1,0)</f>
        <v>#REF!</v>
      </c>
      <c r="Q11" s="52" t="e">
        <f>IF(#REF!="Yes",1,COUNTIF(#REF!,"Y")+COUNTIF(#REF!,"Y")+COUNTIF(#REF!,"Y")+COUNTIF(#REF!,"Y")+COUNTIF(#REF!,"Y"))</f>
        <v>#REF!</v>
      </c>
      <c r="R11" s="52" t="e">
        <f>IF(#REF!="Yes",1,COUNTIF(#REF!,"Y")+COUNTIF(#REF!,"Y")+COUNTIF(#REF!,"Y")+COUNTIF(#REF!,"Y")+COUNTIF(#REF!,"Y"))</f>
        <v>#REF!</v>
      </c>
      <c r="S11" s="53" t="e">
        <f>IF(AND(Q11&gt;0,R11=Q11),IF(AND(#REF!=0,#REF!=0),#REF!,IF(#REF!="Yes",#REF!,#REF!)),0)</f>
        <v>#REF!</v>
      </c>
    </row>
    <row r="12" spans="1:19" s="50" customFormat="1" ht="12" customHeight="1" x14ac:dyDescent="0.25">
      <c r="A12" s="48">
        <f t="shared" si="0"/>
        <v>0</v>
      </c>
      <c r="B12" s="83"/>
      <c r="C12" s="83"/>
      <c r="D12" s="99"/>
      <c r="E12" s="99"/>
      <c r="F12" s="99"/>
      <c r="G12" s="84"/>
      <c r="H12" s="89"/>
      <c r="I12" s="314"/>
      <c r="J12" s="314"/>
      <c r="K12" s="274"/>
      <c r="L12" s="89"/>
      <c r="M12" s="49"/>
      <c r="N12" s="56" t="e">
        <f>IF(AND(#REF!="composite wood",(COUNTIF(#REF!,"Y")+COUNTIF(#REF!,"Y")+COUNTIF(#REF!,"Y")+COUNTIF(#REF!,"Y"))=0),"Yes","No")</f>
        <v>#REF!</v>
      </c>
      <c r="O12" s="56" t="e">
        <f>IF(AND(N12="Yes",#REF!="Y"),1,0)</f>
        <v>#REF!</v>
      </c>
      <c r="Q12" s="52" t="e">
        <f>IF(#REF!="Yes",1,COUNTIF(#REF!,"Y")+COUNTIF(#REF!,"Y")+COUNTIF(#REF!,"Y")+COUNTIF(#REF!,"Y")+COUNTIF(#REF!,"Y"))</f>
        <v>#REF!</v>
      </c>
      <c r="R12" s="52" t="e">
        <f>IF(#REF!="Yes",1,COUNTIF(#REF!,"Y")+COUNTIF(#REF!,"Y")+COUNTIF(#REF!,"Y")+COUNTIF(#REF!,"Y")+COUNTIF(#REF!,"Y"))</f>
        <v>#REF!</v>
      </c>
      <c r="S12" s="53" t="e">
        <f>IF(AND(Q12&gt;0,R12=Q12),IF(AND(#REF!=0,#REF!=0),#REF!,IF(#REF!="Yes",#REF!,#REF!)),0)</f>
        <v>#REF!</v>
      </c>
    </row>
    <row r="13" spans="1:19" s="50" customFormat="1" ht="12" customHeight="1" x14ac:dyDescent="0.25">
      <c r="A13" s="48">
        <f t="shared" si="0"/>
        <v>0</v>
      </c>
      <c r="B13" s="83"/>
      <c r="C13" s="83"/>
      <c r="D13" s="99"/>
      <c r="E13" s="99"/>
      <c r="F13" s="99"/>
      <c r="G13" s="84"/>
      <c r="H13" s="89"/>
      <c r="I13" s="314"/>
      <c r="J13" s="314"/>
      <c r="K13" s="274"/>
      <c r="L13" s="89"/>
      <c r="M13" s="49"/>
      <c r="N13" s="56" t="e">
        <f>IF(AND(#REF!="composite wood",(COUNTIF(#REF!,"Y")+COUNTIF(#REF!,"Y")+COUNTIF(#REF!,"Y")+COUNTIF(#REF!,"Y"))=0),"Yes","No")</f>
        <v>#REF!</v>
      </c>
      <c r="O13" s="56" t="e">
        <f>IF(AND(N13="Yes",#REF!="Y"),1,0)</f>
        <v>#REF!</v>
      </c>
      <c r="Q13" s="52" t="e">
        <f>IF(#REF!="Yes",1,COUNTIF(#REF!,"Y")+COUNTIF(#REF!,"Y")+COUNTIF(#REF!,"Y")+COUNTIF(#REF!,"Y")+COUNTIF(#REF!,"Y"))</f>
        <v>#REF!</v>
      </c>
      <c r="R13" s="52" t="e">
        <f>IF(#REF!="Yes",1,COUNTIF(#REF!,"Y")+COUNTIF(#REF!,"Y")+COUNTIF(#REF!,"Y")+COUNTIF(#REF!,"Y")+COUNTIF(#REF!,"Y"))</f>
        <v>#REF!</v>
      </c>
      <c r="S13" s="53" t="e">
        <f>IF(AND(Q13&gt;0,R13=Q13),IF(AND(#REF!=0,#REF!=0),#REF!,IF(#REF!="Yes",#REF!,#REF!)),0)</f>
        <v>#REF!</v>
      </c>
    </row>
    <row r="14" spans="1:19" s="50" customFormat="1" ht="12" customHeight="1" x14ac:dyDescent="0.25">
      <c r="A14" s="48">
        <f t="shared" si="0"/>
        <v>0</v>
      </c>
      <c r="B14" s="83"/>
      <c r="C14" s="83"/>
      <c r="D14" s="99"/>
      <c r="E14" s="99"/>
      <c r="F14" s="99"/>
      <c r="G14" s="84"/>
      <c r="H14" s="89"/>
      <c r="I14" s="314"/>
      <c r="J14" s="314"/>
      <c r="K14" s="274"/>
      <c r="L14" s="89"/>
      <c r="M14" s="49"/>
      <c r="N14" s="56" t="e">
        <f>IF(AND(#REF!="composite wood",(COUNTIF(#REF!,"Y")+COUNTIF(#REF!,"Y")+COUNTIF(#REF!,"Y")+COUNTIF(#REF!,"Y"))=0),"Yes","No")</f>
        <v>#REF!</v>
      </c>
      <c r="O14" s="56" t="e">
        <f>IF(AND(N14="Yes",#REF!="Y"),1,0)</f>
        <v>#REF!</v>
      </c>
      <c r="Q14" s="52" t="e">
        <f>IF(#REF!="Yes",1,COUNTIF(#REF!,"Y")+COUNTIF(#REF!,"Y")+COUNTIF(#REF!,"Y")+COUNTIF(#REF!,"Y")+COUNTIF(#REF!,"Y"))</f>
        <v>#REF!</v>
      </c>
      <c r="R14" s="52" t="e">
        <f>IF(#REF!="Yes",1,COUNTIF(#REF!,"Y")+COUNTIF(#REF!,"Y")+COUNTIF(#REF!,"Y")+COUNTIF(#REF!,"Y")+COUNTIF(#REF!,"Y"))</f>
        <v>#REF!</v>
      </c>
      <c r="S14" s="53" t="e">
        <f>IF(AND(Q14&gt;0,R14=Q14),IF(AND(#REF!=0,#REF!=0),#REF!,IF(#REF!="Yes",#REF!,#REF!)),0)</f>
        <v>#REF!</v>
      </c>
    </row>
    <row r="15" spans="1:19" s="50" customFormat="1" ht="12" customHeight="1" x14ac:dyDescent="0.25">
      <c r="A15" s="48">
        <f t="shared" si="0"/>
        <v>0</v>
      </c>
      <c r="B15" s="83"/>
      <c r="C15" s="83"/>
      <c r="D15" s="99"/>
      <c r="E15" s="99"/>
      <c r="F15" s="99"/>
      <c r="G15" s="84"/>
      <c r="H15" s="89"/>
      <c r="I15" s="314"/>
      <c r="J15" s="314"/>
      <c r="K15" s="274"/>
      <c r="L15" s="89"/>
      <c r="M15" s="49"/>
      <c r="N15" s="56" t="e">
        <f>IF(AND(#REF!="composite wood",(COUNTIF(#REF!,"Y")+COUNTIF(#REF!,"Y")+COUNTIF(#REF!,"Y")+COUNTIF(#REF!,"Y"))=0),"Yes","No")</f>
        <v>#REF!</v>
      </c>
      <c r="O15" s="56" t="e">
        <f>IF(AND(N15="Yes",#REF!="Y"),1,0)</f>
        <v>#REF!</v>
      </c>
      <c r="Q15" s="52" t="e">
        <f>IF(#REF!="Yes",1,COUNTIF(#REF!,"Y")+COUNTIF(#REF!,"Y")+COUNTIF(#REF!,"Y")+COUNTIF(#REF!,"Y")+COUNTIF(#REF!,"Y"))</f>
        <v>#REF!</v>
      </c>
      <c r="R15" s="52" t="e">
        <f>IF(#REF!="Yes",1,COUNTIF(#REF!,"Y")+COUNTIF(#REF!,"Y")+COUNTIF(#REF!,"Y")+COUNTIF(#REF!,"Y")+COUNTIF(#REF!,"Y"))</f>
        <v>#REF!</v>
      </c>
      <c r="S15" s="53" t="e">
        <f>IF(AND(Q15&gt;0,R15=Q15),IF(AND(#REF!=0,#REF!=0),#REF!,IF(#REF!="Yes",#REF!,#REF!)),0)</f>
        <v>#REF!</v>
      </c>
    </row>
    <row r="16" spans="1:19" s="50" customFormat="1" ht="12" customHeight="1" x14ac:dyDescent="0.25">
      <c r="A16" s="48">
        <f t="shared" si="0"/>
        <v>0</v>
      </c>
      <c r="B16" s="83"/>
      <c r="C16" s="83"/>
      <c r="D16" s="99"/>
      <c r="E16" s="99"/>
      <c r="F16" s="99"/>
      <c r="G16" s="84"/>
      <c r="H16" s="89"/>
      <c r="I16" s="314"/>
      <c r="J16" s="314"/>
      <c r="K16" s="274"/>
      <c r="L16" s="89"/>
      <c r="M16" s="49"/>
      <c r="N16" s="56" t="e">
        <f>IF(AND(#REF!="composite wood",(COUNTIF(#REF!,"Y")+COUNTIF(#REF!,"Y")+COUNTIF(#REF!,"Y")+COUNTIF(#REF!,"Y"))=0),"Yes","No")</f>
        <v>#REF!</v>
      </c>
      <c r="O16" s="56" t="e">
        <f>IF(AND(N16="Yes",#REF!="Y"),1,0)</f>
        <v>#REF!</v>
      </c>
      <c r="Q16" s="52" t="e">
        <f>IF(#REF!="Yes",1,COUNTIF(#REF!,"Y")+COUNTIF(#REF!,"Y")+COUNTIF(#REF!,"Y")+COUNTIF(#REF!,"Y")+COUNTIF(#REF!,"Y"))</f>
        <v>#REF!</v>
      </c>
      <c r="R16" s="52" t="e">
        <f>IF(#REF!="Yes",1,COUNTIF(#REF!,"Y")+COUNTIF(#REF!,"Y")+COUNTIF(#REF!,"Y")+COUNTIF(#REF!,"Y")+COUNTIF(#REF!,"Y"))</f>
        <v>#REF!</v>
      </c>
      <c r="S16" s="53" t="e">
        <f>IF(AND(Q16&gt;0,R16=Q16),IF(AND(#REF!=0,#REF!=0),#REF!,IF(#REF!="Yes",#REF!,#REF!)),0)</f>
        <v>#REF!</v>
      </c>
    </row>
    <row r="17" spans="1:26" s="50" customFormat="1" ht="12" customHeight="1" x14ac:dyDescent="0.25">
      <c r="A17" s="48">
        <f t="shared" si="0"/>
        <v>0</v>
      </c>
      <c r="B17" s="83"/>
      <c r="C17" s="83"/>
      <c r="D17" s="99"/>
      <c r="E17" s="99"/>
      <c r="F17" s="99"/>
      <c r="G17" s="84"/>
      <c r="H17" s="89"/>
      <c r="I17" s="314"/>
      <c r="J17" s="314"/>
      <c r="K17" s="274"/>
      <c r="L17" s="89"/>
      <c r="M17" s="49"/>
      <c r="N17" s="56" t="e">
        <f>IF(AND(#REF!="composite wood",(COUNTIF(#REF!,"Y")+COUNTIF(#REF!,"Y")+COUNTIF(#REF!,"Y")+COUNTIF(#REF!,"Y"))=0),"Yes","No")</f>
        <v>#REF!</v>
      </c>
      <c r="O17" s="56" t="e">
        <f>IF(AND(N17="Yes",#REF!="Y"),1,0)</f>
        <v>#REF!</v>
      </c>
      <c r="Q17" s="52" t="e">
        <f>IF(#REF!="Yes",1,COUNTIF(#REF!,"Y")+COUNTIF(#REF!,"Y")+COUNTIF(#REF!,"Y")+COUNTIF(#REF!,"Y")+COUNTIF(#REF!,"Y"))</f>
        <v>#REF!</v>
      </c>
      <c r="R17" s="52" t="e">
        <f>IF(#REF!="Yes",1,COUNTIF(#REF!,"Y")+COUNTIF(#REF!,"Y")+COUNTIF(#REF!,"Y")+COUNTIF(#REF!,"Y")+COUNTIF(#REF!,"Y"))</f>
        <v>#REF!</v>
      </c>
      <c r="S17" s="53" t="e">
        <f>IF(AND(Q17&gt;0,R17=Q17),IF(AND(#REF!=0,#REF!=0),#REF!,IF(#REF!="Yes",#REF!,#REF!)),0)</f>
        <v>#REF!</v>
      </c>
    </row>
    <row r="18" spans="1:26" s="50" customFormat="1" ht="12" customHeight="1" x14ac:dyDescent="0.25">
      <c r="A18" s="48">
        <f t="shared" si="0"/>
        <v>0</v>
      </c>
      <c r="B18" s="83"/>
      <c r="C18" s="83"/>
      <c r="D18" s="99"/>
      <c r="E18" s="99"/>
      <c r="F18" s="99"/>
      <c r="G18" s="84"/>
      <c r="H18" s="89"/>
      <c r="I18" s="314"/>
      <c r="J18" s="314"/>
      <c r="K18" s="274"/>
      <c r="L18" s="89"/>
      <c r="M18" s="49"/>
      <c r="N18" s="56" t="e">
        <f>IF(AND(#REF!="composite wood",(COUNTIF(#REF!,"Y")+COUNTIF(#REF!,"Y")+COUNTIF(#REF!,"Y")+COUNTIF(#REF!,"Y"))=0),"Yes","No")</f>
        <v>#REF!</v>
      </c>
      <c r="O18" s="56" t="e">
        <f>IF(AND(N18="Yes",#REF!="Y"),1,0)</f>
        <v>#REF!</v>
      </c>
      <c r="Q18" s="52" t="e">
        <f>IF(#REF!="Yes",1,COUNTIF(#REF!,"Y")+COUNTIF(#REF!,"Y")+COUNTIF(#REF!,"Y")+COUNTIF(#REF!,"Y")+COUNTIF(#REF!,"Y"))</f>
        <v>#REF!</v>
      </c>
      <c r="R18" s="52" t="e">
        <f>IF(#REF!="Yes",1,COUNTIF(#REF!,"Y")+COUNTIF(#REF!,"Y")+COUNTIF(#REF!,"Y")+COUNTIF(#REF!,"Y")+COUNTIF(#REF!,"Y"))</f>
        <v>#REF!</v>
      </c>
      <c r="S18" s="53" t="e">
        <f>IF(AND(Q18&gt;0,R18=Q18),IF(AND(#REF!=0,#REF!=0),#REF!,IF(#REF!="Yes",#REF!,#REF!)),0)</f>
        <v>#REF!</v>
      </c>
    </row>
    <row r="19" spans="1:26" s="50" customFormat="1" ht="12" customHeight="1" x14ac:dyDescent="0.25">
      <c r="A19" s="48"/>
      <c r="B19" s="83"/>
      <c r="C19" s="83"/>
      <c r="D19" s="99"/>
      <c r="E19" s="99"/>
      <c r="F19" s="99"/>
      <c r="G19" s="84"/>
      <c r="H19" s="89"/>
      <c r="I19" s="314"/>
      <c r="J19" s="314"/>
      <c r="K19" s="274"/>
      <c r="L19" s="89"/>
      <c r="M19" s="49"/>
      <c r="N19" s="56" t="e">
        <f>IF(AND(#REF!="composite wood",(COUNTIF(#REF!,"Y")+COUNTIF(#REF!,"Y")+COUNTIF(#REF!,"Y")+COUNTIF(#REF!,"Y"))=0),"Yes","No")</f>
        <v>#REF!</v>
      </c>
      <c r="O19" s="56" t="e">
        <f>IF(AND(N19="Yes",#REF!="Y"),1,0)</f>
        <v>#REF!</v>
      </c>
      <c r="Q19" s="52" t="e">
        <f>IF(#REF!="Yes",1,COUNTIF(#REF!,"Y")+COUNTIF(#REF!,"Y")+COUNTIF(#REF!,"Y")+COUNTIF(#REF!,"Y")+COUNTIF(#REF!,"Y"))</f>
        <v>#REF!</v>
      </c>
      <c r="R19" s="52" t="e">
        <f>IF(#REF!="Yes",1,COUNTIF(#REF!,"Y")+COUNTIF(#REF!,"Y")+COUNTIF(#REF!,"Y")+COUNTIF(#REF!,"Y")+COUNTIF(#REF!,"Y"))</f>
        <v>#REF!</v>
      </c>
      <c r="S19" s="53" t="e">
        <f>IF(AND(Q19&gt;0,R19=Q19),IF(AND(#REF!=0,#REF!=0),#REF!,IF(#REF!="Yes",#REF!,#REF!)),0)</f>
        <v>#REF!</v>
      </c>
    </row>
    <row r="20" spans="1:26" s="50" customFormat="1" ht="12" customHeight="1" x14ac:dyDescent="0.25">
      <c r="A20" s="48"/>
      <c r="B20" s="83"/>
      <c r="C20" s="83"/>
      <c r="D20" s="99"/>
      <c r="E20" s="99"/>
      <c r="F20" s="99"/>
      <c r="G20" s="84"/>
      <c r="H20" s="89"/>
      <c r="I20" s="314"/>
      <c r="J20" s="314"/>
      <c r="K20" s="274"/>
      <c r="L20" s="89"/>
      <c r="M20" s="49"/>
      <c r="N20" s="56" t="e">
        <f>IF(AND(#REF!="composite wood",(COUNTIF(#REF!,"Y")+COUNTIF(#REF!,"Y")+COUNTIF(#REF!,"Y")+COUNTIF(#REF!,"Y"))=0),"Yes","No")</f>
        <v>#REF!</v>
      </c>
      <c r="O20" s="56" t="e">
        <f>IF(AND(N20="Yes",#REF!="Y"),1,0)</f>
        <v>#REF!</v>
      </c>
      <c r="Q20" s="52" t="e">
        <f>IF(#REF!="Yes",1,COUNTIF(#REF!,"Y")+COUNTIF(#REF!,"Y")+COUNTIF(#REF!,"Y")+COUNTIF(#REF!,"Y")+COUNTIF(#REF!,"Y"))</f>
        <v>#REF!</v>
      </c>
      <c r="R20" s="52" t="e">
        <f>IF(#REF!="Yes",1,COUNTIF(#REF!,"Y")+COUNTIF(#REF!,"Y")+COUNTIF(#REF!,"Y")+COUNTIF(#REF!,"Y")+COUNTIF(#REF!,"Y"))</f>
        <v>#REF!</v>
      </c>
      <c r="S20" s="53" t="e">
        <f>IF(AND(Q20&gt;0,R20=Q20),IF(AND(#REF!=0,#REF!=0),#REF!,IF(#REF!="Yes",#REF!,#REF!)),0)</f>
        <v>#REF!</v>
      </c>
    </row>
    <row r="21" spans="1:26" s="3" customFormat="1" ht="21" customHeight="1" x14ac:dyDescent="0.25">
      <c r="A21" s="43" t="s">
        <v>371</v>
      </c>
      <c r="B21" s="90"/>
      <c r="C21" s="90"/>
      <c r="D21" s="91"/>
      <c r="E21" s="91"/>
      <c r="F21" s="91"/>
      <c r="G21" s="286"/>
      <c r="H21" s="311"/>
      <c r="I21" s="311"/>
      <c r="J21" s="311"/>
      <c r="K21" s="275"/>
      <c r="L21" s="93"/>
      <c r="M21" s="4"/>
      <c r="N21" s="287"/>
      <c r="O21" s="287"/>
      <c r="P21" s="287"/>
      <c r="Q21" s="287"/>
      <c r="R21" s="287"/>
      <c r="S21" s="287"/>
      <c r="T21" s="287"/>
      <c r="U21" s="287"/>
      <c r="V21" s="287"/>
      <c r="W21" s="287"/>
      <c r="X21" s="287"/>
      <c r="Y21" s="287"/>
      <c r="Z21" s="287"/>
    </row>
    <row r="22" spans="1:26" s="3" customFormat="1" ht="30.75" customHeight="1" x14ac:dyDescent="0.25">
      <c r="A22" s="43"/>
      <c r="B22" s="74"/>
      <c r="C22" s="74"/>
      <c r="D22" s="17"/>
      <c r="E22" s="17"/>
      <c r="F22" s="17"/>
      <c r="G22" s="287"/>
      <c r="H22" s="287"/>
      <c r="I22" s="287"/>
      <c r="J22" s="287"/>
      <c r="K22" s="77"/>
      <c r="L22" s="1"/>
      <c r="M22" s="4"/>
      <c r="N22" s="287"/>
      <c r="O22" s="287"/>
      <c r="P22" s="287"/>
      <c r="Q22" s="287"/>
      <c r="R22" s="287"/>
      <c r="S22" s="287"/>
      <c r="T22" s="287"/>
      <c r="U22" s="287"/>
      <c r="V22" s="287"/>
      <c r="W22" s="287"/>
      <c r="X22" s="287"/>
      <c r="Y22" s="287"/>
      <c r="Z22" s="287"/>
    </row>
    <row r="23" spans="1:26" s="3" customFormat="1" ht="27.75" customHeight="1" x14ac:dyDescent="0.25">
      <c r="A23" s="43"/>
      <c r="B23" s="365" t="s">
        <v>397</v>
      </c>
      <c r="C23" s="365"/>
      <c r="D23" s="365"/>
      <c r="E23" s="365"/>
      <c r="F23" s="96">
        <f>IF($E$5="Cost", SUM(E10:E20), "n/a")</f>
        <v>0</v>
      </c>
      <c r="G23" s="287"/>
      <c r="H23" s="287"/>
      <c r="I23" s="287"/>
      <c r="J23" s="287"/>
      <c r="K23" s="1"/>
      <c r="L23" s="4"/>
      <c r="M23" s="287"/>
      <c r="N23" s="287"/>
      <c r="O23" s="287"/>
      <c r="P23" s="287"/>
      <c r="Q23" s="287"/>
      <c r="R23" s="287"/>
      <c r="S23" s="287"/>
      <c r="T23" s="287"/>
      <c r="U23" s="287"/>
      <c r="V23" s="287"/>
      <c r="W23" s="287"/>
      <c r="X23" s="287"/>
      <c r="Y23" s="287"/>
      <c r="Z23" s="287"/>
    </row>
    <row r="24" spans="1:26" s="3" customFormat="1" ht="30" customHeight="1" x14ac:dyDescent="0.25">
      <c r="A24" s="43"/>
      <c r="B24" s="366" t="s">
        <v>398</v>
      </c>
      <c r="C24" s="366"/>
      <c r="D24" s="366"/>
      <c r="E24" s="366"/>
      <c r="F24" s="96" cm="1">
        <f t="array" ref="F24">IF($E$5="surface area","n/a",SUMPRODUCT(E10:E20,_xlfn.XLOOKUP(G10:G20,reportingTypeOptionsList,reportingTypeCompliantList,0)))</f>
        <v>0</v>
      </c>
      <c r="G24" s="287"/>
      <c r="H24" s="287"/>
      <c r="I24" s="287"/>
      <c r="J24" s="287"/>
      <c r="K24" s="1"/>
      <c r="L24" s="4"/>
      <c r="M24" s="287"/>
      <c r="N24" s="287"/>
      <c r="O24" s="287"/>
      <c r="P24" s="287"/>
      <c r="Q24" s="287"/>
      <c r="R24" s="287"/>
      <c r="S24" s="287"/>
      <c r="T24" s="287"/>
      <c r="U24" s="287"/>
      <c r="V24" s="287"/>
      <c r="W24" s="287"/>
      <c r="X24" s="287"/>
      <c r="Y24" s="287"/>
      <c r="Z24" s="287"/>
    </row>
    <row r="25" spans="1:26" s="3" customFormat="1" ht="45" customHeight="1" x14ac:dyDescent="0.25">
      <c r="A25" s="43"/>
      <c r="B25" s="366" t="s">
        <v>399</v>
      </c>
      <c r="C25" s="366"/>
      <c r="D25" s="366"/>
      <c r="E25" s="366"/>
      <c r="F25" s="141">
        <f>IF($E$5="Cost", IFERROR($F24/$F23,0),"n/a")</f>
        <v>0</v>
      </c>
      <c r="G25" s="287"/>
      <c r="H25" s="287"/>
      <c r="I25" s="287"/>
      <c r="J25" s="287"/>
      <c r="K25"/>
      <c r="L25" s="4"/>
      <c r="M25" s="287"/>
      <c r="N25" s="287"/>
      <c r="O25" s="287"/>
      <c r="P25" s="287"/>
      <c r="Q25" s="287"/>
      <c r="R25" s="287"/>
      <c r="S25" s="287"/>
      <c r="T25" s="287"/>
      <c r="U25" s="287"/>
      <c r="V25" s="287"/>
      <c r="W25" s="287"/>
      <c r="X25" s="287"/>
      <c r="Y25" s="287"/>
      <c r="Z25" s="287"/>
    </row>
    <row r="26" spans="1:26" s="3" customFormat="1" ht="21" customHeight="1" x14ac:dyDescent="0.25">
      <c r="A26" s="43"/>
      <c r="B26" s="82"/>
      <c r="C26" s="82"/>
      <c r="D26" s="82"/>
      <c r="E26" s="82"/>
      <c r="F26" s="17"/>
      <c r="G26" s="287"/>
      <c r="H26" s="287"/>
      <c r="I26" s="287"/>
      <c r="J26" s="287"/>
      <c r="K26"/>
      <c r="L26" s="4"/>
      <c r="M26" s="287"/>
      <c r="N26" s="287"/>
      <c r="O26" s="287"/>
      <c r="P26" s="287"/>
      <c r="Q26" s="287"/>
      <c r="R26" s="287"/>
      <c r="S26" s="287"/>
      <c r="T26" s="287"/>
      <c r="U26" s="287"/>
      <c r="V26" s="287"/>
      <c r="W26" s="287"/>
      <c r="X26" s="287"/>
      <c r="Y26" s="287"/>
      <c r="Z26" s="287"/>
    </row>
    <row r="27" spans="1:26" s="3" customFormat="1" ht="22.5" customHeight="1" x14ac:dyDescent="0.25">
      <c r="A27" s="43"/>
      <c r="B27" s="367" t="str">
        <f>"Total surface area of flooring" &amp; IF(Instructions!$H$10="IP Units", " (sq ft)", IF(Instructions!$H$10="SI Units"," (sq m)"))</f>
        <v>Total surface area of flooring (sq ft)</v>
      </c>
      <c r="C27" s="367"/>
      <c r="D27" s="367"/>
      <c r="E27" s="367"/>
      <c r="F27" s="96" t="str">
        <f>IF($E$5="Surface area", SUM(F10:F20), "n/a")</f>
        <v>n/a</v>
      </c>
      <c r="G27" s="287"/>
      <c r="H27" s="287"/>
      <c r="I27" s="287"/>
      <c r="J27" s="287"/>
      <c r="K27"/>
      <c r="L27"/>
      <c r="M27" s="4"/>
      <c r="N27" s="287"/>
      <c r="O27" s="287"/>
      <c r="P27" s="287"/>
      <c r="Q27" s="287"/>
      <c r="R27" s="287"/>
      <c r="S27" s="287"/>
      <c r="T27" s="287"/>
      <c r="U27" s="287"/>
      <c r="V27" s="287"/>
      <c r="W27" s="287"/>
      <c r="X27" s="287"/>
      <c r="Y27" s="287"/>
      <c r="Z27" s="287"/>
    </row>
    <row r="28" spans="1:26" s="3" customFormat="1" ht="30.6" customHeight="1" x14ac:dyDescent="0.25">
      <c r="A28" s="43"/>
      <c r="B28" s="366"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C28" s="366"/>
      <c r="D28" s="366"/>
      <c r="E28" s="366"/>
      <c r="F28" s="96" t="str" cm="1">
        <f t="array" ref="F28">IF($E$5="cost","n/a",SUMPRODUCT(F10:F20,_xlfn.XLOOKUP(G10:G20,reportingTypeOptionsList,reportingTypeCompliantList,0)))</f>
        <v>n/a</v>
      </c>
      <c r="G28" s="287"/>
      <c r="H28" s="287"/>
      <c r="I28" s="287"/>
      <c r="J28" s="287"/>
      <c r="K28"/>
      <c r="L28"/>
      <c r="M28" s="4"/>
      <c r="N28" s="287"/>
      <c r="O28" s="287"/>
      <c r="P28" s="287"/>
      <c r="Q28" s="287"/>
      <c r="R28" s="287"/>
      <c r="S28" s="287"/>
      <c r="T28" s="287"/>
      <c r="U28" s="287"/>
      <c r="V28" s="287"/>
      <c r="W28" s="287"/>
      <c r="X28" s="287"/>
      <c r="Y28" s="287"/>
      <c r="Z28" s="287"/>
    </row>
    <row r="29" spans="1:26" s="3" customFormat="1" ht="39" customHeight="1" x14ac:dyDescent="0.25">
      <c r="A29" s="43"/>
      <c r="B29" s="366" t="s">
        <v>400</v>
      </c>
      <c r="C29" s="366"/>
      <c r="D29" s="366"/>
      <c r="E29" s="366"/>
      <c r="F29" s="141" t="str">
        <f>IF($E$5="Surface area",IFERROR($F28/$F27,0),"n/a")</f>
        <v>n/a</v>
      </c>
      <c r="G29" s="287"/>
      <c r="H29" s="287"/>
      <c r="I29" s="287"/>
      <c r="J29" s="287"/>
      <c r="K29"/>
      <c r="L29"/>
      <c r="M29" s="4"/>
      <c r="N29" s="287"/>
      <c r="O29" s="287"/>
      <c r="P29" s="287"/>
      <c r="Q29" s="287"/>
      <c r="R29" s="287"/>
      <c r="S29" s="287"/>
      <c r="T29" s="287"/>
      <c r="U29" s="287"/>
      <c r="V29" s="287"/>
      <c r="W29" s="287"/>
      <c r="X29" s="287"/>
      <c r="Y29" s="287"/>
      <c r="Z29" s="287"/>
    </row>
    <row r="30" spans="1:26" s="3" customFormat="1" ht="21" customHeight="1" x14ac:dyDescent="0.25">
      <c r="A30" s="43"/>
      <c r="B30" s="17"/>
      <c r="C30" s="17"/>
      <c r="D30" s="17"/>
      <c r="E30" s="17"/>
      <c r="F30" s="17"/>
      <c r="G30" s="287"/>
      <c r="H30" s="287"/>
      <c r="I30" s="287"/>
      <c r="J30" s="287"/>
      <c r="K30"/>
      <c r="L30"/>
      <c r="M30" s="4"/>
      <c r="N30" s="287"/>
      <c r="O30" s="287"/>
      <c r="P30" s="287"/>
      <c r="Q30" s="287"/>
      <c r="R30" s="287"/>
      <c r="S30" s="287"/>
      <c r="T30" s="287"/>
      <c r="U30" s="287"/>
      <c r="V30" s="287"/>
      <c r="W30" s="287"/>
      <c r="X30" s="287"/>
      <c r="Y30" s="287"/>
      <c r="Z30" s="287"/>
    </row>
    <row r="31" spans="1:26" s="58" customFormat="1" ht="32.25" customHeight="1" x14ac:dyDescent="0.25">
      <c r="K31"/>
      <c r="L31"/>
      <c r="M31" s="79"/>
    </row>
    <row r="32" spans="1:26" s="58" customFormat="1" ht="37.5" customHeight="1" x14ac:dyDescent="0.25">
      <c r="D32" s="80"/>
      <c r="E32" s="80"/>
      <c r="K32"/>
      <c r="L32"/>
      <c r="M32" s="79"/>
    </row>
    <row r="33" spans="2:26" s="58" customFormat="1" ht="39" customHeight="1" x14ac:dyDescent="0.25">
      <c r="K33"/>
      <c r="L33"/>
      <c r="M33" s="79"/>
    </row>
    <row r="34" spans="2:26" s="17" customFormat="1" ht="21" customHeight="1" x14ac:dyDescent="0.25">
      <c r="K34"/>
      <c r="L34"/>
      <c r="M34" s="79"/>
    </row>
    <row r="35" spans="2:26" s="17" customFormat="1" ht="21" customHeight="1" x14ac:dyDescent="0.25">
      <c r="K35"/>
      <c r="L35"/>
      <c r="M35" s="79"/>
    </row>
    <row r="36" spans="2:26" s="17" customFormat="1" ht="21" customHeight="1" x14ac:dyDescent="0.25">
      <c r="K36"/>
      <c r="L36"/>
      <c r="M36" s="79"/>
    </row>
    <row r="37" spans="2:26" s="17" customFormat="1" ht="21" customHeight="1" x14ac:dyDescent="0.25">
      <c r="K37"/>
      <c r="L37"/>
      <c r="M37" s="79"/>
    </row>
    <row r="38" spans="2:26" s="58" customFormat="1" ht="21" customHeight="1" x14ac:dyDescent="0.25">
      <c r="K38"/>
      <c r="L38"/>
      <c r="M38" s="79"/>
    </row>
    <row r="39" spans="2:26" ht="21" customHeight="1" x14ac:dyDescent="0.25">
      <c r="B39" s="73"/>
      <c r="C39" s="73"/>
      <c r="D39" s="73"/>
      <c r="E39" s="73"/>
      <c r="F39" s="73"/>
      <c r="G39" s="73"/>
      <c r="H39" s="73"/>
      <c r="I39" s="73"/>
      <c r="J39" s="73"/>
      <c r="K39"/>
      <c r="L39"/>
      <c r="N39" s="73"/>
      <c r="O39" s="73"/>
      <c r="P39" s="73"/>
      <c r="Q39" s="73"/>
      <c r="R39" s="73"/>
      <c r="S39" s="73"/>
      <c r="T39" s="73"/>
      <c r="U39" s="73"/>
      <c r="V39" s="73"/>
      <c r="W39" s="73"/>
      <c r="X39" s="73"/>
      <c r="Y39" s="73"/>
      <c r="Z39" s="73"/>
    </row>
    <row r="40" spans="2:26" ht="21" customHeight="1" x14ac:dyDescent="0.25">
      <c r="B40" s="73"/>
      <c r="C40" s="73"/>
      <c r="D40" s="73"/>
      <c r="E40" s="73"/>
      <c r="F40" s="73"/>
      <c r="G40" s="73"/>
      <c r="H40" s="73"/>
      <c r="I40" s="73"/>
      <c r="J40" s="73"/>
      <c r="K40"/>
      <c r="L40"/>
      <c r="N40" s="73"/>
      <c r="O40" s="73"/>
      <c r="P40" s="73"/>
      <c r="Q40" s="73"/>
      <c r="R40" s="73"/>
      <c r="S40" s="73"/>
      <c r="T40" s="73"/>
      <c r="U40" s="73"/>
      <c r="V40" s="73"/>
      <c r="W40" s="73"/>
      <c r="X40" s="73"/>
      <c r="Y40" s="73"/>
      <c r="Z40" s="73"/>
    </row>
    <row r="41" spans="2:26" x14ac:dyDescent="0.25">
      <c r="B41" s="73"/>
      <c r="C41" s="73"/>
      <c r="D41" s="73"/>
      <c r="E41" s="73"/>
      <c r="F41" s="73"/>
      <c r="G41" s="73"/>
      <c r="H41" s="73"/>
      <c r="I41" s="73"/>
      <c r="J41" s="73"/>
      <c r="K41"/>
      <c r="L41"/>
      <c r="N41" s="73"/>
      <c r="O41" s="73"/>
      <c r="P41" s="73"/>
      <c r="Q41" s="73"/>
      <c r="R41" s="73"/>
      <c r="S41" s="73"/>
      <c r="T41" s="73"/>
      <c r="U41" s="73"/>
      <c r="V41" s="73"/>
      <c r="W41" s="73"/>
      <c r="X41" s="73"/>
      <c r="Y41" s="73"/>
      <c r="Z41" s="73"/>
    </row>
  </sheetData>
  <sheetProtection algorithmName="SHA-512" hashValue="+/GxZLY+x9667wnqqxZIlH5HeoP0p2CMB31ykg7YCJeJyzR86zy/TxA/0gNuyunhbCaa5v81GKvg6VVGAY1VsA==" saltValue="A4NcITQh+0yFUz23JKf0BQ==" spinCount="100000" sheet="1" objects="1" scenarios="1" formatColumns="0" formatRows="0"/>
  <mergeCells count="21">
    <mergeCell ref="B29:E29"/>
    <mergeCell ref="B28:E28"/>
    <mergeCell ref="H8:H9"/>
    <mergeCell ref="I8:I9"/>
    <mergeCell ref="J8:J9"/>
    <mergeCell ref="S8:S9"/>
    <mergeCell ref="B23:E23"/>
    <mergeCell ref="B24:E24"/>
    <mergeCell ref="B25:E25"/>
    <mergeCell ref="B27:E27"/>
    <mergeCell ref="L8:L9"/>
    <mergeCell ref="N8:N9"/>
    <mergeCell ref="O8:O9"/>
    <mergeCell ref="Q8:Q9"/>
    <mergeCell ref="R8:R9"/>
    <mergeCell ref="B8:B9"/>
    <mergeCell ref="C8:C9"/>
    <mergeCell ref="D8:D9"/>
    <mergeCell ref="E8:E9"/>
    <mergeCell ref="F8:F9"/>
    <mergeCell ref="G8:G9"/>
  </mergeCells>
  <conditionalFormatting sqref="E10:E20">
    <cfRule type="expression" dxfId="15" priority="8">
      <formula>$E$5="Surface area"</formula>
    </cfRule>
  </conditionalFormatting>
  <conditionalFormatting sqref="F10:F20">
    <cfRule type="expression" dxfId="14" priority="7">
      <formula>$E$5="Cost"</formula>
    </cfRule>
  </conditionalFormatting>
  <conditionalFormatting sqref="H10:J20">
    <cfRule type="expression" dxfId="13" priority="1">
      <formula>_xlfn.XLOOKUP($G10,reportingTypeOptionsList,reportingTypeAdditionalInfoList)=0</formula>
    </cfRule>
  </conditionalFormatting>
  <dataValidations count="7">
    <dataValidation type="list" allowBlank="1" showInputMessage="1" showErrorMessage="1" sqref="E5" xr:uid="{00000000-0002-0000-0300-000002000000}">
      <formula1>"Cost, Surface area"</formula1>
    </dataValidation>
    <dataValidation type="custom" allowBlank="1" showInputMessage="1" showErrorMessage="1" sqref="E10:E20" xr:uid="{00000000-0002-0000-0300-000001000000}">
      <formula1>AND($E$5="Cost", ISNUMBER(E10))</formula1>
    </dataValidation>
    <dataValidation type="list" allowBlank="1" showInputMessage="1" showErrorMessage="1" sqref="H10:H20" xr:uid="{F07BC32F-0386-4AA7-9E38-FFB09605D1F4}">
      <formula1>INDIRECT(_xlfn.XLOOKUP(G10,reportingTypeOptionsList,reportingTypeListsList))</formula1>
    </dataValidation>
    <dataValidation type="list" allowBlank="1" showInputMessage="1" showErrorMessage="1" sqref="G10:G20" xr:uid="{6C62479A-4783-4D77-83EF-2E65473F8B8F}">
      <formula1>reportingTypeOptionsList</formula1>
    </dataValidation>
    <dataValidation type="date" errorStyle="information" allowBlank="1" showInputMessage="1" showErrorMessage="1" error="Invalid date - check format and ensure it is after Certification Period Start Date" sqref="J10:J20" xr:uid="{EB4AE432-A8B6-457E-A2AF-DDF7433CB405}">
      <formula1>I10</formula1>
      <formula2>73051</formula2>
    </dataValidation>
    <dataValidation type="date" errorStyle="information" allowBlank="1" showInputMessage="1" showErrorMessage="1" error="Invalid date - check format and ensure it is before Certification Period End Date" sqref="I10:I20" xr:uid="{5471A5AD-AB93-4757-93B9-75338A811142}">
      <formula1>1</formula1>
      <formula2>J10</formula2>
    </dataValidation>
    <dataValidation type="decimal" operator="greaterThan" allowBlank="1" showInputMessage="1" showErrorMessage="1" sqref="F10:F20" xr:uid="{D93ACB9F-770F-4D9D-B67E-9C9C118B553E}">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addA">
                <anchor moveWithCells="1">
                  <from>
                    <xdr:col>1</xdr:col>
                    <xdr:colOff>9525</xdr:colOff>
                    <xdr:row>30</xdr:row>
                    <xdr:rowOff>180975</xdr:rowOff>
                  </from>
                  <to>
                    <xdr:col>1</xdr:col>
                    <xdr:colOff>1400175</xdr:colOff>
                    <xdr:row>31</xdr:row>
                    <xdr:rowOff>28575</xdr:rowOff>
                  </to>
                </anchor>
              </controlPr>
            </control>
          </mc:Choice>
        </mc:AlternateContent>
        <mc:AlternateContent xmlns:mc="http://schemas.openxmlformats.org/markup-compatibility/2006">
          <mc:Choice Requires="x14">
            <control shapeId="13314" r:id="rId5" name="Button 2">
              <controlPr defaultSize="0" print="0" autoFill="0" autoPict="0" macro="[0]!DeleteRow">
                <anchor moveWithCells="1">
                  <from>
                    <xdr:col>3</xdr:col>
                    <xdr:colOff>838200</xdr:colOff>
                    <xdr:row>30</xdr:row>
                    <xdr:rowOff>180975</xdr:rowOff>
                  </from>
                  <to>
                    <xdr:col>4</xdr:col>
                    <xdr:colOff>1219200</xdr:colOff>
                    <xdr:row>31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Z42"/>
  <sheetViews>
    <sheetView showGridLines="0" topLeftCell="B1" zoomScale="80" zoomScaleNormal="80" zoomScalePageLayoutView="80" workbookViewId="0">
      <pane ySplit="9" topLeftCell="A10" activePane="bottomLeft" state="frozen"/>
      <selection activeCell="F30" sqref="F30"/>
      <selection pane="bottomLeft" activeCell="E5" sqref="E5"/>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10" width="29.5703125" style="2" customWidth="1"/>
    <col min="11" max="11" width="2.42578125" style="2" customWidth="1"/>
    <col min="12" max="12" width="45.85546875" style="2" customWidth="1"/>
    <col min="13" max="13" width="4" style="4" customWidth="1"/>
    <col min="14" max="15" width="13.28515625" style="2" hidden="1" customWidth="1"/>
    <col min="16" max="16" width="5.7109375" style="2" hidden="1" customWidth="1"/>
    <col min="17" max="18" width="12.42578125" style="2" hidden="1" customWidth="1"/>
    <col min="19" max="19" width="13" style="2" hidden="1" customWidth="1"/>
    <col min="20" max="16384" width="8.85546875" style="2"/>
  </cols>
  <sheetData>
    <row r="1" spans="1:19" ht="15" customHeight="1" x14ac:dyDescent="0.2">
      <c r="A1" s="285"/>
      <c r="B1" s="285"/>
      <c r="C1" s="285"/>
      <c r="D1" s="285"/>
      <c r="E1" s="285"/>
      <c r="F1" s="285"/>
      <c r="G1" s="285"/>
      <c r="H1" s="285"/>
      <c r="I1" s="285"/>
      <c r="J1" s="285"/>
      <c r="K1" s="285"/>
      <c r="L1" s="285"/>
      <c r="M1" s="73"/>
      <c r="N1" s="73"/>
      <c r="O1" s="73"/>
      <c r="P1" s="73"/>
      <c r="Q1" s="73"/>
      <c r="R1" s="73"/>
      <c r="S1" s="73"/>
    </row>
    <row r="2" spans="1:19" ht="20.25" customHeight="1" x14ac:dyDescent="0.2">
      <c r="A2" s="5"/>
      <c r="B2" s="6" t="s">
        <v>401</v>
      </c>
      <c r="C2" s="6"/>
      <c r="D2" s="7"/>
      <c r="E2" s="7"/>
      <c r="F2" s="8"/>
      <c r="G2" s="7"/>
      <c r="H2" s="7"/>
      <c r="I2" s="7"/>
      <c r="J2" s="7"/>
      <c r="K2" s="7"/>
      <c r="L2" s="7"/>
      <c r="M2" s="73"/>
      <c r="N2" s="73"/>
      <c r="O2" s="73"/>
      <c r="P2" s="73"/>
      <c r="Q2" s="73"/>
      <c r="R2" s="73"/>
      <c r="S2" s="73"/>
    </row>
    <row r="3" spans="1:19" ht="15.75" customHeight="1" x14ac:dyDescent="0.2">
      <c r="A3" s="285"/>
      <c r="B3" s="285"/>
      <c r="C3" s="285"/>
      <c r="D3" s="285"/>
      <c r="E3" s="285"/>
      <c r="F3" s="285"/>
      <c r="G3" s="285"/>
      <c r="H3" s="285"/>
      <c r="I3" s="285"/>
      <c r="J3" s="285"/>
      <c r="K3" s="285"/>
      <c r="L3" s="285"/>
      <c r="M3" s="73"/>
      <c r="N3" s="73"/>
      <c r="O3" s="73"/>
      <c r="P3" s="73"/>
      <c r="Q3" s="73"/>
      <c r="R3" s="73"/>
      <c r="S3" s="73"/>
    </row>
    <row r="4" spans="1:19" ht="22.5" customHeight="1" x14ac:dyDescent="0.25">
      <c r="A4" s="73"/>
      <c r="B4" s="73"/>
      <c r="C4" s="73"/>
      <c r="D4" s="73"/>
      <c r="E4" s="73"/>
      <c r="F4" s="73"/>
      <c r="G4" s="73"/>
      <c r="H4" s="73"/>
      <c r="I4" s="73"/>
      <c r="J4" s="73"/>
      <c r="K4" s="73"/>
      <c r="L4" s="73"/>
      <c r="N4" s="73"/>
      <c r="O4" s="73"/>
      <c r="P4" s="73"/>
      <c r="Q4" s="73"/>
      <c r="R4" s="73"/>
      <c r="S4" s="73"/>
    </row>
    <row r="5" spans="1:19" ht="15.6" customHeight="1" x14ac:dyDescent="0.25">
      <c r="A5" s="73"/>
      <c r="B5" s="73" t="s">
        <v>337</v>
      </c>
      <c r="C5" s="73"/>
      <c r="D5" s="73"/>
      <c r="E5" s="114" t="s">
        <v>402</v>
      </c>
      <c r="F5" s="73"/>
      <c r="G5" s="73"/>
      <c r="H5" s="73"/>
      <c r="I5" s="73"/>
      <c r="J5" s="73"/>
      <c r="K5" s="73"/>
      <c r="L5" s="73"/>
      <c r="N5" s="73"/>
      <c r="O5" s="73"/>
      <c r="P5" s="73"/>
      <c r="Q5" s="73"/>
      <c r="R5" s="73"/>
      <c r="S5" s="73"/>
    </row>
    <row r="6" spans="1:19" ht="15.75" customHeight="1" x14ac:dyDescent="0.25">
      <c r="A6" s="73"/>
      <c r="B6" s="73"/>
      <c r="C6" s="73"/>
      <c r="D6" s="73"/>
      <c r="E6" s="73"/>
      <c r="F6" s="73"/>
      <c r="G6" s="73"/>
      <c r="H6" s="73"/>
      <c r="I6" s="73"/>
      <c r="J6" s="73"/>
      <c r="K6" s="73"/>
      <c r="L6" s="73"/>
      <c r="N6" s="73"/>
      <c r="O6" s="73"/>
      <c r="P6" s="73"/>
      <c r="Q6" s="73"/>
      <c r="R6" s="73"/>
      <c r="S6" s="73"/>
    </row>
    <row r="7" spans="1:19" ht="22.5" customHeight="1" x14ac:dyDescent="0.25">
      <c r="A7" s="73"/>
      <c r="B7" s="73"/>
      <c r="C7" s="73"/>
      <c r="D7" s="73"/>
      <c r="E7" s="73"/>
      <c r="F7" s="73"/>
      <c r="G7" s="73"/>
      <c r="H7" s="73"/>
      <c r="I7" s="73"/>
      <c r="J7" s="73"/>
      <c r="K7" s="73"/>
      <c r="L7" s="73"/>
      <c r="N7" s="73"/>
      <c r="O7" s="73"/>
      <c r="P7" s="73"/>
      <c r="Q7" s="73"/>
      <c r="R7" s="73"/>
      <c r="S7" s="73"/>
    </row>
    <row r="8" spans="1:19" ht="24.75" customHeight="1" x14ac:dyDescent="0.25">
      <c r="A8" s="73"/>
      <c r="B8" s="351" t="s">
        <v>341</v>
      </c>
      <c r="C8" s="351" t="s">
        <v>342</v>
      </c>
      <c r="D8" s="351" t="s">
        <v>343</v>
      </c>
      <c r="E8" s="351" t="s">
        <v>392</v>
      </c>
      <c r="F8" s="351" t="str">
        <f>"Product surface area" &amp; IF(Instructions!$H$10="IP Units", " (sq ft)", IF(Instructions!$H$10="SI Units"," (sq m)"))</f>
        <v>Product surface area (sq ft)</v>
      </c>
      <c r="G8" s="348" t="s">
        <v>348</v>
      </c>
      <c r="H8" s="348" t="s">
        <v>349</v>
      </c>
      <c r="I8" s="348" t="s">
        <v>350</v>
      </c>
      <c r="J8" s="348" t="s">
        <v>351</v>
      </c>
      <c r="K8" s="368"/>
      <c r="L8" s="351" t="s">
        <v>393</v>
      </c>
      <c r="N8" s="345" t="s">
        <v>356</v>
      </c>
      <c r="O8" s="345" t="s">
        <v>357</v>
      </c>
      <c r="P8" s="73"/>
      <c r="Q8" s="347" t="s">
        <v>358</v>
      </c>
      <c r="R8" s="347" t="s">
        <v>359</v>
      </c>
      <c r="S8" s="344" t="s">
        <v>360</v>
      </c>
    </row>
    <row r="9" spans="1:19" ht="51" customHeight="1" x14ac:dyDescent="0.25">
      <c r="A9" s="73"/>
      <c r="B9" s="351"/>
      <c r="C9" s="351"/>
      <c r="D9" s="351"/>
      <c r="E9" s="351"/>
      <c r="F9" s="351"/>
      <c r="G9" s="348"/>
      <c r="H9" s="348"/>
      <c r="I9" s="348"/>
      <c r="J9" s="348"/>
      <c r="K9" s="369"/>
      <c r="L9" s="351"/>
      <c r="N9" s="346"/>
      <c r="O9" s="346"/>
      <c r="P9" s="73"/>
      <c r="Q9" s="347"/>
      <c r="R9" s="347"/>
      <c r="S9" s="344"/>
    </row>
    <row r="10" spans="1:19" s="50" customFormat="1" ht="12" x14ac:dyDescent="0.25">
      <c r="A10" s="48">
        <f t="shared" ref="A10:A19" si="0">IF(D10&gt;=0,0,0)</f>
        <v>0</v>
      </c>
      <c r="B10" s="83"/>
      <c r="C10" s="83"/>
      <c r="D10" s="99"/>
      <c r="E10" s="99"/>
      <c r="F10" s="99"/>
      <c r="G10" s="84"/>
      <c r="H10" s="89"/>
      <c r="I10" s="314"/>
      <c r="J10" s="314"/>
      <c r="K10" s="88"/>
      <c r="L10" s="89"/>
      <c r="M10" s="49"/>
      <c r="N10" s="51" t="e">
        <f>IF(AND(#REF!="composite wood",(COUNTIF(#REF!,"Y")+COUNTIF(#REF!,"Y")+COUNTIF(#REF!,"Y")+COUNTIF(#REF!,"Y"))=0),"Yes","No")</f>
        <v>#REF!</v>
      </c>
      <c r="O10" s="51" t="e">
        <f>IF(AND(N10="Yes",#REF!="Y"),1,0)</f>
        <v>#REF!</v>
      </c>
      <c r="Q10" s="52" t="e">
        <f>IF(#REF!="Inherently nonemitting",1,COUNTIF(#REF!,"Y")+COUNTIF(#REF!,"Y")+COUNTIF(#REF!,"Y")+COUNTIF(#REF!,"Y")+COUNTIF(#REF!,"Y"))</f>
        <v>#REF!</v>
      </c>
      <c r="R10" s="52" t="e">
        <f>IF(#REF!="Yes",1,COUNTIF(#REF!,"Y")+COUNTIF(#REF!,"Y")+COUNTIF(#REF!,"Y")+COUNTIF(#REF!,"Y")+COUNTIF(#REF!,"Y"))</f>
        <v>#REF!</v>
      </c>
      <c r="S10" s="53" t="e">
        <f>IF(AND(Q10&gt;0,R10=Q10),IF(AND(#REF!=0,#REF!=0),#REF!,IF(#REF!="Yes",#REF!,#REF!)),0)</f>
        <v>#REF!</v>
      </c>
    </row>
    <row r="11" spans="1:19" s="50" customFormat="1" ht="12" x14ac:dyDescent="0.25">
      <c r="A11" s="48">
        <f t="shared" si="0"/>
        <v>0</v>
      </c>
      <c r="B11" s="83"/>
      <c r="C11" s="83"/>
      <c r="D11" s="99"/>
      <c r="E11" s="99"/>
      <c r="F11" s="99"/>
      <c r="G11" s="84"/>
      <c r="H11" s="89"/>
      <c r="I11" s="314"/>
      <c r="J11" s="314"/>
      <c r="K11" s="88"/>
      <c r="L11" s="89"/>
      <c r="M11" s="49"/>
      <c r="N11" s="56" t="e">
        <f>IF(AND(#REF!="composite wood",(COUNTIF(#REF!,"Y")+COUNTIF(#REF!,"Y")+COUNTIF(#REF!,"Y")+COUNTIF(#REF!,"Y"))=0),"Yes","No")</f>
        <v>#REF!</v>
      </c>
      <c r="O11" s="56" t="e">
        <f>IF(AND(N11="Yes",#REF!="Y"),1,0)</f>
        <v>#REF!</v>
      </c>
      <c r="Q11" s="52" t="e">
        <f>IF(#REF!="Yes",1,COUNTIF(#REF!,"Y")+COUNTIF(#REF!,"Y")+COUNTIF(#REF!,"Y")+COUNTIF(#REF!,"Y")+COUNTIF(#REF!,"Y"))</f>
        <v>#REF!</v>
      </c>
      <c r="R11" s="52" t="e">
        <f>IF(#REF!="Yes",1,COUNTIF(#REF!,"Y")+COUNTIF(#REF!,"Y")+COUNTIF(#REF!,"Y")+COUNTIF(#REF!,"Y")+COUNTIF(#REF!,"Y"))</f>
        <v>#REF!</v>
      </c>
      <c r="S11" s="53" t="e">
        <f>IF(AND(Q11&gt;0,R11=Q11),IF(AND(#REF!=0,#REF!=0),#REF!,IF(#REF!="Yes",#REF!,#REF!)),0)</f>
        <v>#REF!</v>
      </c>
    </row>
    <row r="12" spans="1:19" s="50" customFormat="1" ht="12" x14ac:dyDescent="0.25">
      <c r="A12" s="48">
        <f t="shared" si="0"/>
        <v>0</v>
      </c>
      <c r="B12" s="83"/>
      <c r="C12" s="83"/>
      <c r="D12" s="99"/>
      <c r="E12" s="99"/>
      <c r="F12" s="99"/>
      <c r="G12" s="84"/>
      <c r="H12" s="89"/>
      <c r="I12" s="314"/>
      <c r="J12" s="314"/>
      <c r="K12" s="88"/>
      <c r="L12" s="89"/>
      <c r="M12" s="49"/>
      <c r="N12" s="56" t="e">
        <f>IF(AND(#REF!="composite wood",(COUNTIF(#REF!,"Y")+COUNTIF(#REF!,"Y")+COUNTIF(#REF!,"Y")+COUNTIF(#REF!,"Y"))=0),"Yes","No")</f>
        <v>#REF!</v>
      </c>
      <c r="O12" s="56" t="e">
        <f>IF(AND(N12="Yes",#REF!="Y"),1,0)</f>
        <v>#REF!</v>
      </c>
      <c r="Q12" s="52" t="e">
        <f>IF(#REF!="Yes",1,COUNTIF(#REF!,"Y")+COUNTIF(#REF!,"Y")+COUNTIF(#REF!,"Y")+COUNTIF(#REF!,"Y")+COUNTIF(#REF!,"Y"))</f>
        <v>#REF!</v>
      </c>
      <c r="R12" s="52" t="e">
        <f>IF(#REF!="Yes",1,COUNTIF(#REF!,"Y")+COUNTIF(#REF!,"Y")+COUNTIF(#REF!,"Y")+COUNTIF(#REF!,"Y")+COUNTIF(#REF!,"Y"))</f>
        <v>#REF!</v>
      </c>
      <c r="S12" s="53" t="e">
        <f>IF(AND(Q12&gt;0,R12=Q12),IF(AND(#REF!=0,#REF!=0),#REF!,IF(#REF!="Yes",#REF!,#REF!)),0)</f>
        <v>#REF!</v>
      </c>
    </row>
    <row r="13" spans="1:19" s="50" customFormat="1" ht="12" x14ac:dyDescent="0.25">
      <c r="A13" s="48">
        <f t="shared" si="0"/>
        <v>0</v>
      </c>
      <c r="B13" s="83"/>
      <c r="C13" s="83"/>
      <c r="D13" s="99"/>
      <c r="E13" s="99"/>
      <c r="F13" s="99"/>
      <c r="G13" s="84"/>
      <c r="H13" s="89"/>
      <c r="I13" s="314"/>
      <c r="J13" s="314"/>
      <c r="K13" s="88"/>
      <c r="L13" s="89"/>
      <c r="M13" s="49"/>
      <c r="N13" s="56" t="e">
        <f>IF(AND(#REF!="composite wood",(COUNTIF(#REF!,"Y")+COUNTIF(#REF!,"Y")+COUNTIF(#REF!,"Y")+COUNTIF(#REF!,"Y"))=0),"Yes","No")</f>
        <v>#REF!</v>
      </c>
      <c r="O13" s="56" t="e">
        <f>IF(AND(N13="Yes",#REF!="Y"),1,0)</f>
        <v>#REF!</v>
      </c>
      <c r="Q13" s="52" t="e">
        <f>IF(#REF!="Yes",1,COUNTIF(#REF!,"Y")+COUNTIF(#REF!,"Y")+COUNTIF(#REF!,"Y")+COUNTIF(#REF!,"Y")+COUNTIF(#REF!,"Y"))</f>
        <v>#REF!</v>
      </c>
      <c r="R13" s="52" t="e">
        <f>IF(#REF!="Yes",1,COUNTIF(#REF!,"Y")+COUNTIF(#REF!,"Y")+COUNTIF(#REF!,"Y")+COUNTIF(#REF!,"Y")+COUNTIF(#REF!,"Y"))</f>
        <v>#REF!</v>
      </c>
      <c r="S13" s="53" t="e">
        <f>IF(AND(Q13&gt;0,R13=Q13),IF(AND(#REF!=0,#REF!=0),#REF!,IF(#REF!="Yes",#REF!,#REF!)),0)</f>
        <v>#REF!</v>
      </c>
    </row>
    <row r="14" spans="1:19" s="50" customFormat="1" ht="12" x14ac:dyDescent="0.25">
      <c r="A14" s="48">
        <f t="shared" si="0"/>
        <v>0</v>
      </c>
      <c r="B14" s="83"/>
      <c r="C14" s="83"/>
      <c r="D14" s="99"/>
      <c r="E14" s="99"/>
      <c r="F14" s="99"/>
      <c r="G14" s="84"/>
      <c r="H14" s="89"/>
      <c r="I14" s="314"/>
      <c r="J14" s="314"/>
      <c r="K14" s="88"/>
      <c r="L14" s="89"/>
      <c r="M14" s="49"/>
      <c r="N14" s="56" t="e">
        <f>IF(AND(#REF!="composite wood",(COUNTIF(#REF!,"Y")+COUNTIF(#REF!,"Y")+COUNTIF(#REF!,"Y")+COUNTIF(#REF!,"Y"))=0),"Yes","No")</f>
        <v>#REF!</v>
      </c>
      <c r="O14" s="56" t="e">
        <f>IF(AND(N14="Yes",#REF!="Y"),1,0)</f>
        <v>#REF!</v>
      </c>
      <c r="Q14" s="52" t="e">
        <f>IF(#REF!="Yes",1,COUNTIF(#REF!,"Y")+COUNTIF(#REF!,"Y")+COUNTIF(#REF!,"Y")+COUNTIF(#REF!,"Y")+COUNTIF(#REF!,"Y"))</f>
        <v>#REF!</v>
      </c>
      <c r="R14" s="52" t="e">
        <f>IF(#REF!="Yes",1,COUNTIF(#REF!,"Y")+COUNTIF(#REF!,"Y")+COUNTIF(#REF!,"Y")+COUNTIF(#REF!,"Y")+COUNTIF(#REF!,"Y"))</f>
        <v>#REF!</v>
      </c>
      <c r="S14" s="53" t="e">
        <f>IF(AND(Q14&gt;0,R14=Q14),IF(AND(#REF!=0,#REF!=0),#REF!,IF(#REF!="Yes",#REF!,#REF!)),0)</f>
        <v>#REF!</v>
      </c>
    </row>
    <row r="15" spans="1:19" s="50" customFormat="1" ht="12" x14ac:dyDescent="0.25">
      <c r="A15" s="48">
        <f t="shared" si="0"/>
        <v>0</v>
      </c>
      <c r="B15" s="83"/>
      <c r="C15" s="83"/>
      <c r="D15" s="99"/>
      <c r="E15" s="99"/>
      <c r="F15" s="99"/>
      <c r="G15" s="84"/>
      <c r="H15" s="89"/>
      <c r="I15" s="314"/>
      <c r="J15" s="314"/>
      <c r="K15" s="88"/>
      <c r="L15" s="89"/>
      <c r="M15" s="49"/>
      <c r="N15" s="56" t="e">
        <f>IF(AND(#REF!="composite wood",(COUNTIF(#REF!,"Y")+COUNTIF(#REF!,"Y")+COUNTIF(#REF!,"Y")+COUNTIF(#REF!,"Y"))=0),"Yes","No")</f>
        <v>#REF!</v>
      </c>
      <c r="O15" s="56" t="e">
        <f>IF(AND(N15="Yes",#REF!="Y"),1,0)</f>
        <v>#REF!</v>
      </c>
      <c r="Q15" s="52" t="e">
        <f>IF(#REF!="Yes",1,COUNTIF(#REF!,"Y")+COUNTIF(#REF!,"Y")+COUNTIF(#REF!,"Y")+COUNTIF(#REF!,"Y")+COUNTIF(#REF!,"Y"))</f>
        <v>#REF!</v>
      </c>
      <c r="R15" s="52" t="e">
        <f>IF(#REF!="Yes",1,COUNTIF(#REF!,"Y")+COUNTIF(#REF!,"Y")+COUNTIF(#REF!,"Y")+COUNTIF(#REF!,"Y")+COUNTIF(#REF!,"Y"))</f>
        <v>#REF!</v>
      </c>
      <c r="S15" s="53" t="e">
        <f>IF(AND(Q15&gt;0,R15=Q15),IF(AND(#REF!=0,#REF!=0),#REF!,IF(#REF!="Yes",#REF!,#REF!)),0)</f>
        <v>#REF!</v>
      </c>
    </row>
    <row r="16" spans="1:19" s="50" customFormat="1" ht="12" x14ac:dyDescent="0.25">
      <c r="A16" s="48">
        <f t="shared" si="0"/>
        <v>0</v>
      </c>
      <c r="B16" s="83"/>
      <c r="C16" s="83"/>
      <c r="D16" s="99"/>
      <c r="E16" s="99"/>
      <c r="F16" s="99"/>
      <c r="G16" s="84"/>
      <c r="H16" s="89"/>
      <c r="I16" s="314"/>
      <c r="J16" s="314"/>
      <c r="K16" s="88"/>
      <c r="L16" s="89"/>
      <c r="M16" s="49"/>
      <c r="N16" s="56" t="e">
        <f>IF(AND(#REF!="composite wood",(COUNTIF(#REF!,"Y")+COUNTIF(#REF!,"Y")+COUNTIF(#REF!,"Y")+COUNTIF(#REF!,"Y"))=0),"Yes","No")</f>
        <v>#REF!</v>
      </c>
      <c r="O16" s="56" t="e">
        <f>IF(AND(N16="Yes",#REF!="Y"),1,0)</f>
        <v>#REF!</v>
      </c>
      <c r="Q16" s="52" t="e">
        <f>IF(#REF!="Yes",1,COUNTIF(#REF!,"Y")+COUNTIF(#REF!,"Y")+COUNTIF(#REF!,"Y")+COUNTIF(#REF!,"Y")+COUNTIF(#REF!,"Y"))</f>
        <v>#REF!</v>
      </c>
      <c r="R16" s="52" t="e">
        <f>IF(#REF!="Yes",1,COUNTIF(#REF!,"Y")+COUNTIF(#REF!,"Y")+COUNTIF(#REF!,"Y")+COUNTIF(#REF!,"Y")+COUNTIF(#REF!,"Y"))</f>
        <v>#REF!</v>
      </c>
      <c r="S16" s="53" t="e">
        <f>IF(AND(Q16&gt;0,R16=Q16),IF(AND(#REF!=0,#REF!=0),#REF!,IF(#REF!="Yes",#REF!,#REF!)),0)</f>
        <v>#REF!</v>
      </c>
    </row>
    <row r="17" spans="1:26" s="50" customFormat="1" ht="12" x14ac:dyDescent="0.25">
      <c r="A17" s="48">
        <f t="shared" si="0"/>
        <v>0</v>
      </c>
      <c r="B17" s="83"/>
      <c r="C17" s="83"/>
      <c r="D17" s="99"/>
      <c r="E17" s="99"/>
      <c r="F17" s="99"/>
      <c r="G17" s="84"/>
      <c r="H17" s="89"/>
      <c r="I17" s="314"/>
      <c r="J17" s="314"/>
      <c r="K17" s="88"/>
      <c r="L17" s="89"/>
      <c r="M17" s="49"/>
      <c r="N17" s="56" t="e">
        <f>IF(AND(#REF!="composite wood",(COUNTIF(#REF!,"Y")+COUNTIF(#REF!,"Y")+COUNTIF(#REF!,"Y")+COUNTIF(#REF!,"Y"))=0),"Yes","No")</f>
        <v>#REF!</v>
      </c>
      <c r="O17" s="56" t="e">
        <f>IF(AND(N17="Yes",#REF!="Y"),1,0)</f>
        <v>#REF!</v>
      </c>
      <c r="Q17" s="52" t="e">
        <f>IF(#REF!="Yes",1,COUNTIF(#REF!,"Y")+COUNTIF(#REF!,"Y")+COUNTIF(#REF!,"Y")+COUNTIF(#REF!,"Y")+COUNTIF(#REF!,"Y"))</f>
        <v>#REF!</v>
      </c>
      <c r="R17" s="52" t="e">
        <f>IF(#REF!="Yes",1,COUNTIF(#REF!,"Y")+COUNTIF(#REF!,"Y")+COUNTIF(#REF!,"Y")+COUNTIF(#REF!,"Y")+COUNTIF(#REF!,"Y"))</f>
        <v>#REF!</v>
      </c>
      <c r="S17" s="53" t="e">
        <f>IF(AND(Q17&gt;0,R17=Q17),IF(AND(#REF!=0,#REF!=0),#REF!,IF(#REF!="Yes",#REF!,#REF!)),0)</f>
        <v>#REF!</v>
      </c>
    </row>
    <row r="18" spans="1:26" s="50" customFormat="1" ht="12" x14ac:dyDescent="0.25">
      <c r="A18" s="48">
        <f t="shared" si="0"/>
        <v>0</v>
      </c>
      <c r="B18" s="83"/>
      <c r="C18" s="83"/>
      <c r="D18" s="99"/>
      <c r="E18" s="99"/>
      <c r="F18" s="99"/>
      <c r="G18" s="84"/>
      <c r="H18" s="89"/>
      <c r="I18" s="314"/>
      <c r="J18" s="314"/>
      <c r="K18" s="88"/>
      <c r="L18" s="89"/>
      <c r="M18" s="49"/>
      <c r="N18" s="56" t="e">
        <f>IF(AND(#REF!="composite wood",(COUNTIF(#REF!,"Y")+COUNTIF(#REF!,"Y")+COUNTIF(#REF!,"Y")+COUNTIF(#REF!,"Y"))=0),"Yes","No")</f>
        <v>#REF!</v>
      </c>
      <c r="O18" s="56" t="e">
        <f>IF(AND(N18="Yes",#REF!="Y"),1,0)</f>
        <v>#REF!</v>
      </c>
      <c r="Q18" s="52" t="e">
        <f>IF(#REF!="Yes",1,COUNTIF(#REF!,"Y")+COUNTIF(#REF!,"Y")+COUNTIF(#REF!,"Y")+COUNTIF(#REF!,"Y")+COUNTIF(#REF!,"Y"))</f>
        <v>#REF!</v>
      </c>
      <c r="R18" s="52" t="e">
        <f>IF(#REF!="Yes",1,COUNTIF(#REF!,"Y")+COUNTIF(#REF!,"Y")+COUNTIF(#REF!,"Y")+COUNTIF(#REF!,"Y")+COUNTIF(#REF!,"Y"))</f>
        <v>#REF!</v>
      </c>
      <c r="S18" s="53" t="e">
        <f>IF(AND(Q18&gt;0,R18=Q18),IF(AND(#REF!=0,#REF!=0),#REF!,IF(#REF!="Yes",#REF!,#REF!)),0)</f>
        <v>#REF!</v>
      </c>
    </row>
    <row r="19" spans="1:26" s="50" customFormat="1" ht="12" x14ac:dyDescent="0.25">
      <c r="A19" s="48">
        <f t="shared" si="0"/>
        <v>0</v>
      </c>
      <c r="B19" s="83"/>
      <c r="C19" s="83"/>
      <c r="D19" s="99"/>
      <c r="E19" s="99"/>
      <c r="F19" s="99"/>
      <c r="G19" s="84"/>
      <c r="H19" s="89"/>
      <c r="I19" s="314"/>
      <c r="J19" s="314"/>
      <c r="K19" s="88"/>
      <c r="L19" s="89"/>
      <c r="M19" s="49"/>
      <c r="N19" s="56" t="e">
        <f>IF(AND(#REF!="composite wood",(COUNTIF(#REF!,"Y")+COUNTIF(#REF!,"Y")+COUNTIF(#REF!,"Y")+COUNTIF(#REF!,"Y"))=0),"Yes","No")</f>
        <v>#REF!</v>
      </c>
      <c r="O19" s="56" t="e">
        <f>IF(AND(N19="Yes",#REF!="Y"),1,0)</f>
        <v>#REF!</v>
      </c>
      <c r="Q19" s="52" t="e">
        <f>IF(#REF!="Yes",1,COUNTIF(#REF!,"Y")+COUNTIF(#REF!,"Y")+COUNTIF(#REF!,"Y")+COUNTIF(#REF!,"Y")+COUNTIF(#REF!,"Y"))</f>
        <v>#REF!</v>
      </c>
      <c r="R19" s="52" t="e">
        <f>IF(#REF!="Yes",1,COUNTIF(#REF!,"Y")+COUNTIF(#REF!,"Y")+COUNTIF(#REF!,"Y")+COUNTIF(#REF!,"Y")+COUNTIF(#REF!,"Y"))</f>
        <v>#REF!</v>
      </c>
      <c r="S19" s="53" t="e">
        <f>IF(AND(Q19&gt;0,R19=Q19),IF(AND(#REF!=0,#REF!=0),#REF!,IF(#REF!="Yes",#REF!,#REF!)),0)</f>
        <v>#REF!</v>
      </c>
    </row>
    <row r="20" spans="1:26" s="50" customFormat="1" ht="12" x14ac:dyDescent="0.25">
      <c r="A20" s="48"/>
      <c r="B20" s="83"/>
      <c r="C20" s="83"/>
      <c r="D20" s="99"/>
      <c r="E20" s="99"/>
      <c r="F20" s="99"/>
      <c r="G20" s="84"/>
      <c r="H20" s="89"/>
      <c r="I20" s="314"/>
      <c r="J20" s="314"/>
      <c r="K20" s="88"/>
      <c r="L20" s="89"/>
      <c r="M20" s="49"/>
      <c r="N20" s="56" t="e">
        <f>IF(AND(#REF!="composite wood",(COUNTIF(#REF!,"Y")+COUNTIF(#REF!,"Y")+COUNTIF(#REF!,"Y")+COUNTIF(#REF!,"Y"))=0),"Yes","No")</f>
        <v>#REF!</v>
      </c>
      <c r="O20" s="56" t="e">
        <f>IF(AND(N20="Yes",#REF!="Y"),1,0)</f>
        <v>#REF!</v>
      </c>
      <c r="Q20" s="52" t="e">
        <f>IF(#REF!="Yes",1,COUNTIF(#REF!,"Y")+COUNTIF(#REF!,"Y")+COUNTIF(#REF!,"Y")+COUNTIF(#REF!,"Y")+COUNTIF(#REF!,"Y"))</f>
        <v>#REF!</v>
      </c>
      <c r="R20" s="52" t="e">
        <f>IF(#REF!="Yes",1,COUNTIF(#REF!,"Y")+COUNTIF(#REF!,"Y")+COUNTIF(#REF!,"Y")+COUNTIF(#REF!,"Y")+COUNTIF(#REF!,"Y"))</f>
        <v>#REF!</v>
      </c>
      <c r="S20" s="53" t="e">
        <f>IF(AND(Q20&gt;0,R20=Q20),IF(AND(#REF!=0,#REF!=0),#REF!,IF(#REF!="Yes",#REF!,#REF!)),0)</f>
        <v>#REF!</v>
      </c>
    </row>
    <row r="21" spans="1:26" s="50" customFormat="1" ht="12" x14ac:dyDescent="0.25">
      <c r="A21" s="48"/>
      <c r="B21" s="83"/>
      <c r="C21" s="83"/>
      <c r="D21" s="99"/>
      <c r="E21" s="99"/>
      <c r="F21" s="99"/>
      <c r="G21" s="84"/>
      <c r="H21" s="89"/>
      <c r="I21" s="314"/>
      <c r="J21" s="314"/>
      <c r="K21" s="88"/>
      <c r="L21" s="89"/>
      <c r="M21" s="49"/>
      <c r="N21" s="56" t="e">
        <f>IF(AND(#REF!="composite wood",(COUNTIF(#REF!,"Y")+COUNTIF(#REF!,"Y")+COUNTIF(#REF!,"Y")+COUNTIF(#REF!,"Y"))=0),"Yes","No")</f>
        <v>#REF!</v>
      </c>
      <c r="O21" s="56" t="e">
        <f>IF(AND(N21="Yes",#REF!="Y"),1,0)</f>
        <v>#REF!</v>
      </c>
      <c r="Q21" s="52" t="e">
        <f>IF(#REF!="Yes",1,COUNTIF(#REF!,"Y")+COUNTIF(#REF!,"Y")+COUNTIF(#REF!,"Y")+COUNTIF(#REF!,"Y")+COUNTIF(#REF!,"Y"))</f>
        <v>#REF!</v>
      </c>
      <c r="R21" s="52" t="e">
        <f>IF(#REF!="Yes",1,COUNTIF(#REF!,"Y")+COUNTIF(#REF!,"Y")+COUNTIF(#REF!,"Y")+COUNTIF(#REF!,"Y")+COUNTIF(#REF!,"Y"))</f>
        <v>#REF!</v>
      </c>
      <c r="S21" s="53" t="e">
        <f>IF(AND(Q21&gt;0,R21=Q21),IF(AND(#REF!=0,#REF!=0),#REF!,IF(#REF!="Yes",#REF!,#REF!)),0)</f>
        <v>#REF!</v>
      </c>
    </row>
    <row r="22" spans="1:26" s="3" customFormat="1" ht="21" customHeight="1" x14ac:dyDescent="0.25">
      <c r="A22" s="43" t="s">
        <v>371</v>
      </c>
      <c r="B22" s="90"/>
      <c r="C22" s="90"/>
      <c r="D22" s="91"/>
      <c r="E22" s="91"/>
      <c r="F22" s="91"/>
      <c r="G22" s="286"/>
      <c r="H22" s="286"/>
      <c r="I22" s="286"/>
      <c r="J22" s="286"/>
      <c r="K22" s="92"/>
      <c r="L22" s="93"/>
      <c r="M22" s="4"/>
      <c r="N22" s="287"/>
      <c r="O22" s="287"/>
      <c r="P22" s="287"/>
      <c r="Q22" s="287"/>
      <c r="R22" s="287"/>
      <c r="S22" s="287"/>
      <c r="T22" s="287"/>
      <c r="U22" s="287"/>
      <c r="V22" s="287"/>
      <c r="W22" s="287"/>
      <c r="X22" s="287"/>
      <c r="Y22" s="287"/>
      <c r="Z22" s="287"/>
    </row>
    <row r="23" spans="1:26" s="3" customFormat="1" ht="30.75" customHeight="1" x14ac:dyDescent="0.25">
      <c r="A23" s="43"/>
      <c r="B23" s="74"/>
      <c r="C23" s="74"/>
      <c r="D23" s="17"/>
      <c r="E23" s="17"/>
      <c r="F23" s="17"/>
      <c r="G23" s="287"/>
      <c r="H23" s="287"/>
      <c r="I23" s="287"/>
      <c r="J23" s="287"/>
      <c r="K23" s="77"/>
      <c r="L23" s="1"/>
      <c r="M23" s="4"/>
      <c r="N23" s="287"/>
      <c r="O23" s="287"/>
      <c r="P23" s="287"/>
      <c r="Q23" s="287"/>
      <c r="R23" s="287"/>
      <c r="S23" s="287"/>
      <c r="T23" s="287"/>
      <c r="U23" s="287"/>
      <c r="V23" s="287"/>
      <c r="W23" s="287"/>
      <c r="X23" s="287"/>
      <c r="Y23" s="287"/>
      <c r="Z23" s="287"/>
    </row>
    <row r="24" spans="1:26" s="3" customFormat="1" ht="27.75" customHeight="1" x14ac:dyDescent="0.25">
      <c r="A24" s="43"/>
      <c r="B24" s="365" t="s">
        <v>403</v>
      </c>
      <c r="C24" s="365"/>
      <c r="D24" s="365"/>
      <c r="E24" s="365"/>
      <c r="F24" s="96">
        <f>IF($E$5="Cost", SUM(E10:E21), "n/a")</f>
        <v>0</v>
      </c>
      <c r="G24" s="287"/>
      <c r="H24" s="287"/>
      <c r="I24" s="287"/>
      <c r="J24" s="287"/>
      <c r="K24" s="77"/>
      <c r="L24" s="1"/>
      <c r="M24" s="4"/>
      <c r="N24" s="287"/>
      <c r="O24" s="287"/>
      <c r="P24" s="287"/>
      <c r="Q24" s="287"/>
      <c r="R24" s="287"/>
      <c r="S24" s="287"/>
      <c r="T24" s="287"/>
      <c r="U24" s="287"/>
      <c r="V24" s="287"/>
      <c r="W24" s="287"/>
      <c r="X24" s="287"/>
      <c r="Y24" s="287"/>
      <c r="Z24" s="287"/>
    </row>
    <row r="25" spans="1:26" s="3" customFormat="1" ht="30" customHeight="1" x14ac:dyDescent="0.25">
      <c r="A25" s="43"/>
      <c r="B25" s="366" t="s">
        <v>404</v>
      </c>
      <c r="C25" s="366"/>
      <c r="D25" s="366"/>
      <c r="E25" s="366"/>
      <c r="F25" s="96" cm="1">
        <f t="array" ref="F25">IF($E$5="surface area","n/a",SUMPRODUCT(E10:E21,_xlfn.XLOOKUP(G10:G21,reportingTypeOptionsList,reportingTypeCompliantList,0)))</f>
        <v>0</v>
      </c>
      <c r="G25" s="287"/>
      <c r="H25" s="287"/>
      <c r="I25" s="287"/>
      <c r="J25" s="287"/>
      <c r="K25" s="77"/>
      <c r="L25" s="1"/>
      <c r="M25" s="4"/>
      <c r="N25" s="287"/>
      <c r="O25" s="287"/>
      <c r="P25" s="287"/>
      <c r="Q25" s="287"/>
      <c r="R25" s="287"/>
      <c r="S25" s="287"/>
      <c r="T25" s="287"/>
      <c r="U25" s="287"/>
      <c r="V25" s="287"/>
      <c r="W25" s="287"/>
      <c r="X25" s="287"/>
      <c r="Y25" s="287"/>
      <c r="Z25" s="287"/>
    </row>
    <row r="26" spans="1:26" s="3" customFormat="1" ht="45" customHeight="1" x14ac:dyDescent="0.25">
      <c r="A26" s="43"/>
      <c r="B26" s="366" t="s">
        <v>405</v>
      </c>
      <c r="C26" s="366"/>
      <c r="D26" s="366"/>
      <c r="E26" s="366"/>
      <c r="F26" s="141">
        <f>IF($E$5="Cost",IFERROR($F25/$F24,0),"n/a")</f>
        <v>0</v>
      </c>
      <c r="G26" s="287"/>
      <c r="H26" s="287"/>
      <c r="I26" s="287"/>
      <c r="J26" s="287"/>
      <c r="K26"/>
      <c r="L26"/>
      <c r="M26" s="4"/>
      <c r="N26" s="287"/>
      <c r="O26" s="287"/>
      <c r="P26" s="287"/>
      <c r="Q26" s="287"/>
      <c r="R26" s="287"/>
      <c r="S26" s="287"/>
      <c r="T26" s="287"/>
      <c r="U26" s="287"/>
      <c r="V26" s="287"/>
      <c r="W26" s="287"/>
      <c r="X26" s="287"/>
      <c r="Y26" s="287"/>
      <c r="Z26" s="287"/>
    </row>
    <row r="27" spans="1:26" s="3" customFormat="1" ht="21" customHeight="1" x14ac:dyDescent="0.25">
      <c r="A27" s="43"/>
      <c r="B27" s="82"/>
      <c r="C27" s="82"/>
      <c r="D27" s="82"/>
      <c r="E27" s="82"/>
      <c r="F27" s="17"/>
      <c r="G27" s="287"/>
      <c r="H27" s="287"/>
      <c r="I27" s="287"/>
      <c r="J27" s="287"/>
      <c r="K27"/>
      <c r="L27"/>
      <c r="M27" s="4"/>
      <c r="N27" s="287"/>
      <c r="O27" s="287"/>
      <c r="P27" s="287"/>
      <c r="Q27" s="287"/>
      <c r="R27" s="287"/>
      <c r="S27" s="287"/>
      <c r="T27" s="287"/>
      <c r="U27" s="287"/>
      <c r="V27" s="287"/>
      <c r="W27" s="287"/>
      <c r="X27" s="287"/>
      <c r="Y27" s="287"/>
      <c r="Z27" s="287"/>
    </row>
    <row r="28" spans="1:26" s="3" customFormat="1" ht="22.5" customHeight="1" x14ac:dyDescent="0.25">
      <c r="A28" s="43"/>
      <c r="B28" s="367" t="str">
        <f>"Total surface area of wall panels" &amp; IF(Instructions!$H$10="IP Units", " (sq ft)", IF(Instructions!$H$10="SI Units"," (sq m)"))</f>
        <v>Total surface area of wall panels (sq ft)</v>
      </c>
      <c r="C28" s="367"/>
      <c r="D28" s="367"/>
      <c r="E28" s="367"/>
      <c r="F28" s="96" t="str">
        <f>IF($E$5="Surface area", SUM(F10:F21), "n/a")</f>
        <v>n/a</v>
      </c>
      <c r="G28" s="287"/>
      <c r="H28" s="287"/>
      <c r="I28" s="287"/>
      <c r="J28" s="287"/>
      <c r="K28"/>
      <c r="L28"/>
      <c r="M28" s="4"/>
      <c r="N28" s="287"/>
      <c r="O28" s="287"/>
      <c r="P28" s="287"/>
      <c r="Q28" s="287"/>
      <c r="R28" s="287"/>
      <c r="S28" s="287"/>
      <c r="T28" s="287"/>
      <c r="U28" s="287"/>
      <c r="V28" s="287"/>
      <c r="W28" s="287"/>
      <c r="X28" s="287"/>
      <c r="Y28" s="287"/>
      <c r="Z28" s="287"/>
    </row>
    <row r="29" spans="1:26" s="3" customFormat="1" ht="30.6" customHeight="1" x14ac:dyDescent="0.25">
      <c r="A29" s="43"/>
      <c r="B29" s="366"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C29" s="366"/>
      <c r="D29" s="366"/>
      <c r="E29" s="366"/>
      <c r="F29" s="96" t="str" cm="1">
        <f t="array" ref="F29">IF($E$5="cost","n/a",SUMPRODUCT(F10:F21,_xlfn.XLOOKUP(G10:G21,reportingTypeOptionsList,reportingTypeCompliantList,0)))</f>
        <v>n/a</v>
      </c>
      <c r="G29" s="287"/>
      <c r="H29" s="287"/>
      <c r="I29" s="287"/>
      <c r="J29" s="287"/>
      <c r="K29"/>
      <c r="L29"/>
      <c r="M29" s="4"/>
      <c r="N29" s="287"/>
      <c r="O29" s="287"/>
      <c r="P29" s="287"/>
      <c r="Q29" s="287"/>
      <c r="R29" s="287"/>
      <c r="S29" s="287"/>
      <c r="T29" s="287"/>
      <c r="U29" s="287"/>
      <c r="V29" s="287"/>
      <c r="W29" s="287"/>
      <c r="X29" s="287"/>
      <c r="Y29" s="287"/>
      <c r="Z29" s="287"/>
    </row>
    <row r="30" spans="1:26" s="3" customFormat="1" ht="39" customHeight="1" x14ac:dyDescent="0.25">
      <c r="A30" s="43"/>
      <c r="B30" s="366" t="s">
        <v>406</v>
      </c>
      <c r="C30" s="366"/>
      <c r="D30" s="366"/>
      <c r="E30" s="366"/>
      <c r="F30" s="141" t="str">
        <f>IF($E$5="Surface area",IFERROR($F29/$F28,0),"n/a")</f>
        <v>n/a</v>
      </c>
      <c r="G30" s="287"/>
      <c r="H30" s="287"/>
      <c r="I30" s="287"/>
      <c r="J30" s="287"/>
      <c r="K30"/>
      <c r="L30"/>
      <c r="M30" s="4"/>
      <c r="N30" s="287"/>
      <c r="O30" s="287"/>
      <c r="P30" s="287"/>
      <c r="Q30" s="287"/>
      <c r="R30" s="287"/>
      <c r="S30" s="287"/>
      <c r="T30" s="287"/>
      <c r="U30" s="287"/>
      <c r="V30" s="287"/>
      <c r="W30" s="287"/>
      <c r="X30" s="287"/>
      <c r="Y30" s="287"/>
      <c r="Z30" s="287"/>
    </row>
    <row r="31" spans="1:26" s="3" customFormat="1" ht="21" customHeight="1" x14ac:dyDescent="0.25">
      <c r="A31" s="43"/>
      <c r="B31" s="17"/>
      <c r="C31" s="17"/>
      <c r="D31" s="17"/>
      <c r="E31" s="17"/>
      <c r="F31" s="17"/>
      <c r="G31" s="287"/>
      <c r="H31" s="287"/>
      <c r="I31" s="287"/>
      <c r="J31" s="287"/>
      <c r="K31"/>
      <c r="L31"/>
      <c r="M31" s="4"/>
      <c r="N31" s="287"/>
      <c r="O31" s="287"/>
      <c r="P31" s="287"/>
      <c r="Q31" s="287"/>
      <c r="R31" s="287"/>
      <c r="S31" s="287"/>
      <c r="T31" s="287"/>
      <c r="U31" s="287"/>
      <c r="V31" s="287"/>
      <c r="W31" s="287"/>
      <c r="X31" s="287"/>
      <c r="Y31" s="287"/>
      <c r="Z31" s="287"/>
    </row>
    <row r="32" spans="1:26" s="58" customFormat="1" ht="32.25" customHeight="1" x14ac:dyDescent="0.25">
      <c r="K32"/>
      <c r="L32"/>
      <c r="M32" s="79"/>
    </row>
    <row r="33" spans="2:26" s="58" customFormat="1" ht="37.5" customHeight="1" x14ac:dyDescent="0.25">
      <c r="D33" s="80"/>
      <c r="E33" s="80"/>
      <c r="K33"/>
      <c r="L33"/>
      <c r="M33" s="79"/>
    </row>
    <row r="34" spans="2:26" s="58" customFormat="1" ht="39" customHeight="1" x14ac:dyDescent="0.25">
      <c r="K34"/>
      <c r="L34"/>
      <c r="M34" s="79"/>
    </row>
    <row r="35" spans="2:26" s="17" customFormat="1" ht="21" customHeight="1" x14ac:dyDescent="0.25">
      <c r="K35"/>
      <c r="L35"/>
      <c r="M35" s="79"/>
    </row>
    <row r="36" spans="2:26" s="17" customFormat="1" ht="21" customHeight="1" x14ac:dyDescent="0.25">
      <c r="K36"/>
      <c r="L36"/>
      <c r="M36" s="79"/>
    </row>
    <row r="37" spans="2:26" s="17" customFormat="1" ht="21" customHeight="1" x14ac:dyDescent="0.25">
      <c r="K37"/>
      <c r="L37"/>
      <c r="M37" s="79"/>
    </row>
    <row r="38" spans="2:26" s="17" customFormat="1" ht="21" customHeight="1" x14ac:dyDescent="0.25">
      <c r="K38"/>
      <c r="L38"/>
      <c r="M38" s="79"/>
    </row>
    <row r="39" spans="2:26" s="58" customFormat="1" ht="21" customHeight="1" x14ac:dyDescent="0.25">
      <c r="K39"/>
      <c r="L39"/>
      <c r="M39" s="79"/>
    </row>
    <row r="40" spans="2:26" ht="21" customHeight="1" x14ac:dyDescent="0.25">
      <c r="B40" s="73"/>
      <c r="C40" s="73"/>
      <c r="D40" s="73"/>
      <c r="E40" s="73"/>
      <c r="F40" s="73"/>
      <c r="G40" s="73"/>
      <c r="H40" s="73"/>
      <c r="I40" s="73"/>
      <c r="J40" s="73"/>
      <c r="K40"/>
      <c r="L40"/>
      <c r="N40" s="73"/>
      <c r="O40" s="73"/>
      <c r="P40" s="73"/>
      <c r="Q40" s="73"/>
      <c r="R40" s="73"/>
      <c r="S40" s="73"/>
      <c r="T40" s="73"/>
      <c r="U40" s="73"/>
      <c r="V40" s="73"/>
      <c r="W40" s="73"/>
      <c r="X40" s="73"/>
      <c r="Y40" s="73"/>
      <c r="Z40" s="73"/>
    </row>
    <row r="41" spans="2:26" ht="21" customHeight="1" x14ac:dyDescent="0.25">
      <c r="B41" s="73"/>
      <c r="C41" s="73"/>
      <c r="D41" s="73"/>
      <c r="E41" s="73"/>
      <c r="F41" s="73"/>
      <c r="G41" s="73"/>
      <c r="H41" s="73"/>
      <c r="I41" s="73"/>
      <c r="J41" s="73"/>
      <c r="K41"/>
      <c r="L41"/>
      <c r="N41" s="73"/>
      <c r="O41" s="73"/>
      <c r="P41" s="73"/>
      <c r="Q41" s="73"/>
      <c r="R41" s="73"/>
      <c r="S41" s="73"/>
      <c r="T41" s="73"/>
      <c r="U41" s="73"/>
      <c r="V41" s="73"/>
      <c r="W41" s="73"/>
      <c r="X41" s="73"/>
      <c r="Y41" s="73"/>
      <c r="Z41" s="73"/>
    </row>
    <row r="42" spans="2:26" x14ac:dyDescent="0.25">
      <c r="B42" s="73"/>
      <c r="C42" s="73"/>
      <c r="D42" s="73"/>
      <c r="E42" s="73"/>
      <c r="F42" s="73"/>
      <c r="G42" s="73"/>
      <c r="H42" s="73"/>
      <c r="I42" s="73"/>
      <c r="J42" s="73"/>
      <c r="K42"/>
      <c r="L42"/>
      <c r="N42" s="73"/>
      <c r="O42" s="73"/>
      <c r="P42" s="73"/>
      <c r="Q42" s="73"/>
      <c r="R42" s="73"/>
      <c r="S42" s="73"/>
      <c r="T42" s="73"/>
      <c r="U42" s="73"/>
      <c r="V42" s="73"/>
      <c r="W42" s="73"/>
      <c r="X42" s="73"/>
      <c r="Y42" s="73"/>
      <c r="Z42" s="73"/>
    </row>
  </sheetData>
  <sheetProtection algorithmName="SHA-512" hashValue="LU/0mEU+NEa7/+5JAk7l7nzrNOOI0Y/i9TYHsstG612EEArOowsKhnlaNJZn02CRiNRjnmiSdH21d+bmwuRrlw==" saltValue="qiOzIjgCOHqnMg/Ajb/1nQ==" spinCount="100000" sheet="1" formatColumns="0" formatRows="0"/>
  <mergeCells count="22">
    <mergeCell ref="B28:E28"/>
    <mergeCell ref="B29:E29"/>
    <mergeCell ref="B30:E30"/>
    <mergeCell ref="B26:E26"/>
    <mergeCell ref="G8:G9"/>
    <mergeCell ref="B24:E24"/>
    <mergeCell ref="B25:E25"/>
    <mergeCell ref="S8:S9"/>
    <mergeCell ref="N8:N9"/>
    <mergeCell ref="O8:O9"/>
    <mergeCell ref="Q8:Q9"/>
    <mergeCell ref="R8:R9"/>
    <mergeCell ref="L8:L9"/>
    <mergeCell ref="B8:B9"/>
    <mergeCell ref="C8:C9"/>
    <mergeCell ref="D8:D9"/>
    <mergeCell ref="E8:E9"/>
    <mergeCell ref="F8:F9"/>
    <mergeCell ref="K8:K9"/>
    <mergeCell ref="H8:H9"/>
    <mergeCell ref="I8:I9"/>
    <mergeCell ref="J8:J9"/>
  </mergeCells>
  <conditionalFormatting sqref="E10:E21">
    <cfRule type="expression" dxfId="12" priority="5">
      <formula>$E$5="Surface area"</formula>
    </cfRule>
  </conditionalFormatting>
  <conditionalFormatting sqref="F10:F21">
    <cfRule type="expression" dxfId="11" priority="4">
      <formula>$E$5="Cost"</formula>
    </cfRule>
  </conditionalFormatting>
  <conditionalFormatting sqref="H10:J21">
    <cfRule type="expression" dxfId="10" priority="1">
      <formula>_xlfn.XLOOKUP($G10,reportingTypeOptionsList,reportingTypeAdditionalInfoList)=0</formula>
    </cfRule>
  </conditionalFormatting>
  <dataValidations count="7">
    <dataValidation type="list" allowBlank="1" showInputMessage="1" showErrorMessage="1" sqref="E5" xr:uid="{00000000-0002-0000-0400-000000000000}">
      <formula1>"Cost, Surface area"</formula1>
    </dataValidation>
    <dataValidation type="custom" allowBlank="1" showInputMessage="1" showErrorMessage="1" sqref="F10:F21" xr:uid="{00000000-0002-0000-0400-000001000000}">
      <formula1>AND($E$5="Surface area", ISNUMBER(F10))</formula1>
    </dataValidation>
    <dataValidation type="custom" allowBlank="1" showInputMessage="1" showErrorMessage="1" sqref="E10:E21" xr:uid="{00000000-0002-0000-0400-000002000000}">
      <formula1>AND($E$5="Cost", ISNUMBER(E10))</formula1>
    </dataValidation>
    <dataValidation type="list" allowBlank="1" showInputMessage="1" showErrorMessage="1" sqref="G10:G21" xr:uid="{ABAE6853-6D30-4B88-B8F9-DC591F276371}">
      <formula1>reportingTypeOptionsList</formula1>
    </dataValidation>
    <dataValidation type="list" allowBlank="1" showInputMessage="1" showErrorMessage="1" sqref="H10:H21" xr:uid="{6A0115BC-36FC-44F6-A74C-A67B560E5E0B}">
      <formula1>INDIRECT(_xlfn.XLOOKUP(G10,reportingTypeOptionsList,reportingTypeListsList))</formula1>
    </dataValidation>
    <dataValidation type="date" errorStyle="information" allowBlank="1" showInputMessage="1" showErrorMessage="1" error="Invalid date - check format and ensure it is after Certification Period Start Date" sqref="J10:J21" xr:uid="{E5DDFE53-C19B-4F1D-A5DB-5B3E86E2A874}">
      <formula1>I10</formula1>
      <formula2>73051</formula2>
    </dataValidation>
    <dataValidation type="date" errorStyle="information" allowBlank="1" showInputMessage="1" showErrorMessage="1" error="Invalid date - check format and ensure it is before Certification Period End Date" sqref="I10:I21" xr:uid="{FE5D1E35-9B8B-4EBE-8FA7-7035D2A25400}">
      <formula1>1</formula1>
      <formula2>J10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dA">
                <anchor moveWithCells="1">
                  <from>
                    <xdr:col>1</xdr:col>
                    <xdr:colOff>9525</xdr:colOff>
                    <xdr:row>31</xdr:row>
                    <xdr:rowOff>180975</xdr:rowOff>
                  </from>
                  <to>
                    <xdr:col>1</xdr:col>
                    <xdr:colOff>1400175</xdr:colOff>
                    <xdr:row>32</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0]!DeleteRow">
                <anchor moveWithCells="1">
                  <from>
                    <xdr:col>3</xdr:col>
                    <xdr:colOff>838200</xdr:colOff>
                    <xdr:row>31</xdr:row>
                    <xdr:rowOff>180975</xdr:rowOff>
                  </from>
                  <to>
                    <xdr:col>4</xdr:col>
                    <xdr:colOff>1219200</xdr:colOff>
                    <xdr:row>32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Z42"/>
  <sheetViews>
    <sheetView showGridLines="0" zoomScale="80" zoomScaleNormal="80" zoomScalePageLayoutView="80" workbookViewId="0">
      <pane ySplit="9" topLeftCell="A10" activePane="bottomLeft" state="frozen"/>
      <selection activeCell="F30" sqref="F30"/>
      <selection pane="bottomLeft" activeCell="H15" sqref="H15"/>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10" width="29.7109375" style="2" customWidth="1"/>
    <col min="11" max="11" width="2.42578125" style="2" customWidth="1"/>
    <col min="12" max="12" width="45.85546875" style="2" customWidth="1"/>
    <col min="13" max="13" width="4" style="4" customWidth="1"/>
    <col min="14" max="15" width="13.28515625" style="2" hidden="1" customWidth="1"/>
    <col min="16" max="16" width="5.7109375" style="2" hidden="1" customWidth="1"/>
    <col min="17" max="18" width="12.42578125" style="2" hidden="1" customWidth="1"/>
    <col min="19" max="19" width="13" style="2" hidden="1" customWidth="1"/>
    <col min="20" max="16384" width="8.85546875" style="2"/>
  </cols>
  <sheetData>
    <row r="1" spans="1:19" ht="15" customHeight="1" x14ac:dyDescent="0.2">
      <c r="A1" s="285"/>
      <c r="B1" s="285"/>
      <c r="C1" s="285"/>
      <c r="D1" s="285"/>
      <c r="E1" s="285"/>
      <c r="F1" s="285"/>
      <c r="G1" s="285"/>
      <c r="H1" s="285"/>
      <c r="I1" s="285"/>
      <c r="J1" s="285"/>
      <c r="K1" s="285"/>
      <c r="L1" s="285"/>
      <c r="M1" s="73"/>
      <c r="N1" s="73"/>
      <c r="O1" s="73"/>
      <c r="P1" s="73"/>
      <c r="Q1" s="73"/>
      <c r="R1" s="73"/>
      <c r="S1" s="73"/>
    </row>
    <row r="2" spans="1:19" ht="20.25" customHeight="1" x14ac:dyDescent="0.2">
      <c r="A2" s="5"/>
      <c r="B2" s="6" t="s">
        <v>407</v>
      </c>
      <c r="C2" s="6"/>
      <c r="D2" s="7"/>
      <c r="E2" s="7"/>
      <c r="F2" s="8"/>
      <c r="G2" s="7"/>
      <c r="H2" s="7"/>
      <c r="I2" s="7"/>
      <c r="J2" s="7"/>
      <c r="K2" s="7"/>
      <c r="L2" s="7"/>
      <c r="M2" s="73"/>
      <c r="N2" s="73"/>
      <c r="O2" s="73"/>
      <c r="P2" s="73"/>
      <c r="Q2" s="73"/>
      <c r="R2" s="73"/>
      <c r="S2" s="73"/>
    </row>
    <row r="3" spans="1:19" ht="15.75" customHeight="1" x14ac:dyDescent="0.2">
      <c r="A3" s="285"/>
      <c r="B3" s="285"/>
      <c r="C3" s="285"/>
      <c r="D3" s="285"/>
      <c r="E3" s="285"/>
      <c r="F3" s="285"/>
      <c r="G3" s="285"/>
      <c r="H3" s="285"/>
      <c r="I3" s="285"/>
      <c r="J3" s="285"/>
      <c r="K3" s="285"/>
      <c r="L3" s="285"/>
      <c r="M3" s="73"/>
      <c r="N3" s="73"/>
      <c r="O3" s="73"/>
      <c r="P3" s="73"/>
      <c r="Q3" s="73"/>
      <c r="R3" s="73"/>
      <c r="S3" s="73"/>
    </row>
    <row r="4" spans="1:19" ht="22.5" customHeight="1" x14ac:dyDescent="0.25">
      <c r="A4" s="73"/>
      <c r="B4" s="73"/>
      <c r="C4" s="73"/>
      <c r="D4" s="73"/>
      <c r="E4" s="73"/>
      <c r="F4" s="73"/>
      <c r="G4" s="73"/>
      <c r="H4" s="73"/>
      <c r="I4" s="73"/>
      <c r="J4" s="73"/>
      <c r="K4" s="73"/>
      <c r="L4" s="73"/>
      <c r="N4" s="73"/>
      <c r="O4" s="73"/>
      <c r="P4" s="73"/>
      <c r="Q4" s="73"/>
      <c r="R4" s="73"/>
      <c r="S4" s="73"/>
    </row>
    <row r="5" spans="1:19" ht="15.6" customHeight="1" x14ac:dyDescent="0.25">
      <c r="A5" s="73"/>
      <c r="B5" s="73" t="s">
        <v>337</v>
      </c>
      <c r="C5" s="73"/>
      <c r="D5" s="73"/>
      <c r="E5" s="114" t="s">
        <v>402</v>
      </c>
      <c r="F5" s="73"/>
      <c r="G5" s="73"/>
      <c r="H5" s="73"/>
      <c r="I5" s="73"/>
      <c r="J5" s="73"/>
      <c r="K5" s="73"/>
      <c r="L5" s="73"/>
      <c r="N5" s="73"/>
      <c r="O5" s="73"/>
      <c r="P5" s="73"/>
      <c r="Q5" s="73"/>
      <c r="R5" s="73"/>
      <c r="S5" s="73"/>
    </row>
    <row r="6" spans="1:19" ht="15.75" customHeight="1" x14ac:dyDescent="0.25">
      <c r="A6" s="73"/>
      <c r="B6" s="73"/>
      <c r="C6" s="73"/>
      <c r="D6" s="73"/>
      <c r="E6" s="73"/>
      <c r="F6" s="73"/>
      <c r="G6" s="73"/>
      <c r="H6" s="73"/>
      <c r="I6" s="73"/>
      <c r="J6" s="73"/>
      <c r="K6" s="73"/>
      <c r="L6" s="73"/>
      <c r="N6" s="73"/>
      <c r="O6" s="73"/>
      <c r="P6" s="73"/>
      <c r="Q6" s="73"/>
      <c r="R6" s="73"/>
      <c r="S6" s="73"/>
    </row>
    <row r="7" spans="1:19" ht="22.5" customHeight="1" x14ac:dyDescent="0.25">
      <c r="A7" s="73"/>
      <c r="B7" s="73"/>
      <c r="C7" s="73"/>
      <c r="D7" s="73"/>
      <c r="E7" s="73"/>
      <c r="F7" s="73"/>
      <c r="G7" s="73"/>
      <c r="H7" s="73"/>
      <c r="I7" s="73"/>
      <c r="J7" s="73"/>
      <c r="K7" s="73"/>
      <c r="L7" s="73"/>
      <c r="N7" s="73"/>
      <c r="O7" s="73"/>
      <c r="P7" s="73"/>
      <c r="Q7" s="73"/>
      <c r="R7" s="73"/>
      <c r="S7" s="73"/>
    </row>
    <row r="8" spans="1:19" ht="24.75" customHeight="1" x14ac:dyDescent="0.25">
      <c r="A8" s="73"/>
      <c r="B8" s="351" t="s">
        <v>341</v>
      </c>
      <c r="C8" s="351" t="s">
        <v>342</v>
      </c>
      <c r="D8" s="351" t="s">
        <v>343</v>
      </c>
      <c r="E8" s="351" t="s">
        <v>392</v>
      </c>
      <c r="F8" s="351" t="str">
        <f>"Product surface area" &amp; IF(Instructions!$H$10="IP Units", " (sq ft)", IF(Instructions!$H$10="SI Units"," (sq m)"))</f>
        <v>Product surface area (sq ft)</v>
      </c>
      <c r="G8" s="348" t="s">
        <v>348</v>
      </c>
      <c r="H8" s="348" t="s">
        <v>349</v>
      </c>
      <c r="I8" s="348" t="s">
        <v>350</v>
      </c>
      <c r="J8" s="348" t="s">
        <v>351</v>
      </c>
      <c r="K8" s="273"/>
      <c r="L8" s="351" t="s">
        <v>393</v>
      </c>
      <c r="N8" s="345" t="s">
        <v>356</v>
      </c>
      <c r="O8" s="345" t="s">
        <v>357</v>
      </c>
      <c r="P8" s="73"/>
      <c r="Q8" s="347" t="s">
        <v>358</v>
      </c>
      <c r="R8" s="347" t="s">
        <v>359</v>
      </c>
      <c r="S8" s="344" t="s">
        <v>360</v>
      </c>
    </row>
    <row r="9" spans="1:19" ht="51" customHeight="1" x14ac:dyDescent="0.25">
      <c r="A9" s="73"/>
      <c r="B9" s="351"/>
      <c r="C9" s="351"/>
      <c r="D9" s="351"/>
      <c r="E9" s="351"/>
      <c r="F9" s="351"/>
      <c r="G9" s="348"/>
      <c r="H9" s="348"/>
      <c r="I9" s="348"/>
      <c r="J9" s="348"/>
      <c r="K9" s="274"/>
      <c r="L9" s="351"/>
      <c r="N9" s="346"/>
      <c r="O9" s="346"/>
      <c r="P9" s="73"/>
      <c r="Q9" s="347"/>
      <c r="R9" s="347"/>
      <c r="S9" s="344"/>
    </row>
    <row r="10" spans="1:19" s="50" customFormat="1" ht="12" customHeight="1" x14ac:dyDescent="0.25">
      <c r="A10" s="48">
        <f t="shared" ref="A10:A19" si="0">IF(D10&gt;=0,0,0)</f>
        <v>0</v>
      </c>
      <c r="B10" s="83"/>
      <c r="C10" s="83"/>
      <c r="D10" s="99"/>
      <c r="E10" s="99"/>
      <c r="F10" s="99"/>
      <c r="G10" s="84"/>
      <c r="H10" s="89"/>
      <c r="I10" s="314"/>
      <c r="J10" s="314"/>
      <c r="K10" s="274"/>
      <c r="L10" s="89"/>
      <c r="M10" s="49"/>
      <c r="N10" s="51" t="e">
        <f>IF(AND(#REF!="composite wood",(COUNTIF(#REF!,"Y")+COUNTIF(#REF!,"Y")+COUNTIF(#REF!,"Y")+COUNTIF(#REF!,"Y"))=0),"Yes","No")</f>
        <v>#REF!</v>
      </c>
      <c r="O10" s="51" t="e">
        <f>IF(AND(N10="Yes",#REF!="Y"),1,0)</f>
        <v>#REF!</v>
      </c>
      <c r="Q10" s="52" t="e">
        <f>IF(#REF!="Inherently nonemitting",1,COUNTIF(#REF!,"Y")+COUNTIF(#REF!,"Y")+COUNTIF(#REF!,"Y")+COUNTIF(#REF!,"Y")+COUNTIF(#REF!,"Y"))</f>
        <v>#REF!</v>
      </c>
      <c r="R10" s="52" t="e">
        <f>IF(#REF!="Yes",1,COUNTIF(#REF!,"Y")+COUNTIF(#REF!,"Y")+COUNTIF(#REF!,"Y")+COUNTIF(#REF!,"Y")+COUNTIF(#REF!,"Y"))</f>
        <v>#REF!</v>
      </c>
      <c r="S10" s="53" t="e">
        <f>IF(AND(Q10&gt;0,R10=Q10),IF(AND(#REF!=0,#REF!=0),#REF!,IF(#REF!="Yes",#REF!,#REF!)),0)</f>
        <v>#REF!</v>
      </c>
    </row>
    <row r="11" spans="1:19" s="50" customFormat="1" ht="12" customHeight="1" x14ac:dyDescent="0.25">
      <c r="A11" s="48">
        <f t="shared" si="0"/>
        <v>0</v>
      </c>
      <c r="B11" s="83"/>
      <c r="C11" s="83"/>
      <c r="D11" s="99"/>
      <c r="E11" s="99"/>
      <c r="F11" s="99"/>
      <c r="G11" s="84"/>
      <c r="H11" s="89"/>
      <c r="I11" s="314"/>
      <c r="J11" s="314"/>
      <c r="K11" s="274"/>
      <c r="L11" s="89"/>
      <c r="M11" s="49"/>
      <c r="N11" s="56" t="e">
        <f>IF(AND(#REF!="composite wood",(COUNTIF(#REF!,"Y")+COUNTIF(#REF!,"Y")+COUNTIF(#REF!,"Y")+COUNTIF(#REF!,"Y"))=0),"Yes","No")</f>
        <v>#REF!</v>
      </c>
      <c r="O11" s="56" t="e">
        <f>IF(AND(N11="Yes",#REF!="Y"),1,0)</f>
        <v>#REF!</v>
      </c>
      <c r="Q11" s="52" t="e">
        <f>IF(#REF!="Yes",1,COUNTIF(#REF!,"Y")+COUNTIF(#REF!,"Y")+COUNTIF(#REF!,"Y")+COUNTIF(#REF!,"Y")+COUNTIF(#REF!,"Y"))</f>
        <v>#REF!</v>
      </c>
      <c r="R11" s="52" t="e">
        <f>IF(#REF!="Yes",1,COUNTIF(#REF!,"Y")+COUNTIF(#REF!,"Y")+COUNTIF(#REF!,"Y")+COUNTIF(#REF!,"Y")+COUNTIF(#REF!,"Y"))</f>
        <v>#REF!</v>
      </c>
      <c r="S11" s="53" t="e">
        <f>IF(AND(Q11&gt;0,R11=Q11),IF(AND(#REF!=0,#REF!=0),#REF!,IF(#REF!="Yes",#REF!,#REF!)),0)</f>
        <v>#REF!</v>
      </c>
    </row>
    <row r="12" spans="1:19" s="50" customFormat="1" ht="12" customHeight="1" x14ac:dyDescent="0.25">
      <c r="A12" s="48">
        <f t="shared" si="0"/>
        <v>0</v>
      </c>
      <c r="B12" s="83"/>
      <c r="C12" s="83"/>
      <c r="D12" s="99"/>
      <c r="E12" s="99"/>
      <c r="F12" s="99"/>
      <c r="G12" s="84"/>
      <c r="H12" s="89"/>
      <c r="I12" s="314"/>
      <c r="J12" s="314"/>
      <c r="K12" s="274"/>
      <c r="L12" s="89"/>
      <c r="M12" s="49"/>
      <c r="N12" s="56" t="e">
        <f>IF(AND(#REF!="composite wood",(COUNTIF(#REF!,"Y")+COUNTIF(#REF!,"Y")+COUNTIF(#REF!,"Y")+COUNTIF(#REF!,"Y"))=0),"Yes","No")</f>
        <v>#REF!</v>
      </c>
      <c r="O12" s="56" t="e">
        <f>IF(AND(N12="Yes",#REF!="Y"),1,0)</f>
        <v>#REF!</v>
      </c>
      <c r="Q12" s="52" t="e">
        <f>IF(#REF!="Yes",1,COUNTIF(#REF!,"Y")+COUNTIF(#REF!,"Y")+COUNTIF(#REF!,"Y")+COUNTIF(#REF!,"Y")+COUNTIF(#REF!,"Y"))</f>
        <v>#REF!</v>
      </c>
      <c r="R12" s="52" t="e">
        <f>IF(#REF!="Yes",1,COUNTIF(#REF!,"Y")+COUNTIF(#REF!,"Y")+COUNTIF(#REF!,"Y")+COUNTIF(#REF!,"Y")+COUNTIF(#REF!,"Y"))</f>
        <v>#REF!</v>
      </c>
      <c r="S12" s="53" t="e">
        <f>IF(AND(Q12&gt;0,R12=Q12),IF(AND(#REF!=0,#REF!=0),#REF!,IF(#REF!="Yes",#REF!,#REF!)),0)</f>
        <v>#REF!</v>
      </c>
    </row>
    <row r="13" spans="1:19" s="50" customFormat="1" ht="12" customHeight="1" x14ac:dyDescent="0.25">
      <c r="A13" s="48">
        <f t="shared" si="0"/>
        <v>0</v>
      </c>
      <c r="B13" s="83"/>
      <c r="C13" s="83"/>
      <c r="D13" s="99"/>
      <c r="E13" s="99"/>
      <c r="F13" s="99"/>
      <c r="G13" s="84"/>
      <c r="H13" s="89"/>
      <c r="I13" s="314"/>
      <c r="J13" s="314"/>
      <c r="K13" s="274"/>
      <c r="L13" s="89"/>
      <c r="M13" s="49"/>
      <c r="N13" s="56" t="e">
        <f>IF(AND(#REF!="composite wood",(COUNTIF(#REF!,"Y")+COUNTIF(#REF!,"Y")+COUNTIF(#REF!,"Y")+COUNTIF(#REF!,"Y"))=0),"Yes","No")</f>
        <v>#REF!</v>
      </c>
      <c r="O13" s="56" t="e">
        <f>IF(AND(N13="Yes",#REF!="Y"),1,0)</f>
        <v>#REF!</v>
      </c>
      <c r="Q13" s="52" t="e">
        <f>IF(#REF!="Yes",1,COUNTIF(#REF!,"Y")+COUNTIF(#REF!,"Y")+COUNTIF(#REF!,"Y")+COUNTIF(#REF!,"Y")+COUNTIF(#REF!,"Y"))</f>
        <v>#REF!</v>
      </c>
      <c r="R13" s="52" t="e">
        <f>IF(#REF!="Yes",1,COUNTIF(#REF!,"Y")+COUNTIF(#REF!,"Y")+COUNTIF(#REF!,"Y")+COUNTIF(#REF!,"Y")+COUNTIF(#REF!,"Y"))</f>
        <v>#REF!</v>
      </c>
      <c r="S13" s="53" t="e">
        <f>IF(AND(Q13&gt;0,R13=Q13),IF(AND(#REF!=0,#REF!=0),#REF!,IF(#REF!="Yes",#REF!,#REF!)),0)</f>
        <v>#REF!</v>
      </c>
    </row>
    <row r="14" spans="1:19" s="50" customFormat="1" ht="12" customHeight="1" x14ac:dyDescent="0.25">
      <c r="A14" s="48">
        <f t="shared" si="0"/>
        <v>0</v>
      </c>
      <c r="B14" s="83"/>
      <c r="C14" s="83"/>
      <c r="D14" s="99"/>
      <c r="E14" s="99"/>
      <c r="F14" s="99"/>
      <c r="G14" s="84"/>
      <c r="H14" s="89"/>
      <c r="I14" s="314"/>
      <c r="J14" s="314"/>
      <c r="K14" s="274"/>
      <c r="L14" s="89"/>
      <c r="M14" s="49"/>
      <c r="N14" s="56" t="e">
        <f>IF(AND(#REF!="composite wood",(COUNTIF(#REF!,"Y")+COUNTIF(#REF!,"Y")+COUNTIF(#REF!,"Y")+COUNTIF(#REF!,"Y"))=0),"Yes","No")</f>
        <v>#REF!</v>
      </c>
      <c r="O14" s="56" t="e">
        <f>IF(AND(N14="Yes",#REF!="Y"),1,0)</f>
        <v>#REF!</v>
      </c>
      <c r="Q14" s="52" t="e">
        <f>IF(#REF!="Yes",1,COUNTIF(#REF!,"Y")+COUNTIF(#REF!,"Y")+COUNTIF(#REF!,"Y")+COUNTIF(#REF!,"Y")+COUNTIF(#REF!,"Y"))</f>
        <v>#REF!</v>
      </c>
      <c r="R14" s="52" t="e">
        <f>IF(#REF!="Yes",1,COUNTIF(#REF!,"Y")+COUNTIF(#REF!,"Y")+COUNTIF(#REF!,"Y")+COUNTIF(#REF!,"Y")+COUNTIF(#REF!,"Y"))</f>
        <v>#REF!</v>
      </c>
      <c r="S14" s="53" t="e">
        <f>IF(AND(Q14&gt;0,R14=Q14),IF(AND(#REF!=0,#REF!=0),#REF!,IF(#REF!="Yes",#REF!,#REF!)),0)</f>
        <v>#REF!</v>
      </c>
    </row>
    <row r="15" spans="1:19" s="50" customFormat="1" ht="12" customHeight="1" x14ac:dyDescent="0.25">
      <c r="A15" s="48">
        <f t="shared" si="0"/>
        <v>0</v>
      </c>
      <c r="B15" s="83"/>
      <c r="C15" s="83"/>
      <c r="D15" s="99"/>
      <c r="E15" s="99"/>
      <c r="F15" s="99"/>
      <c r="G15" s="84"/>
      <c r="H15" s="89"/>
      <c r="I15" s="314"/>
      <c r="J15" s="314"/>
      <c r="K15" s="274"/>
      <c r="L15" s="89"/>
      <c r="M15" s="49"/>
      <c r="N15" s="56" t="e">
        <f>IF(AND(#REF!="composite wood",(COUNTIF(#REF!,"Y")+COUNTIF(#REF!,"Y")+COUNTIF(#REF!,"Y")+COUNTIF(#REF!,"Y"))=0),"Yes","No")</f>
        <v>#REF!</v>
      </c>
      <c r="O15" s="56" t="e">
        <f>IF(AND(N15="Yes",#REF!="Y"),1,0)</f>
        <v>#REF!</v>
      </c>
      <c r="Q15" s="52" t="e">
        <f>IF(#REF!="Yes",1,COUNTIF(#REF!,"Y")+COUNTIF(#REF!,"Y")+COUNTIF(#REF!,"Y")+COUNTIF(#REF!,"Y")+COUNTIF(#REF!,"Y"))</f>
        <v>#REF!</v>
      </c>
      <c r="R15" s="52" t="e">
        <f>IF(#REF!="Yes",1,COUNTIF(#REF!,"Y")+COUNTIF(#REF!,"Y")+COUNTIF(#REF!,"Y")+COUNTIF(#REF!,"Y")+COUNTIF(#REF!,"Y"))</f>
        <v>#REF!</v>
      </c>
      <c r="S15" s="53" t="e">
        <f>IF(AND(Q15&gt;0,R15=Q15),IF(AND(#REF!=0,#REF!=0),#REF!,IF(#REF!="Yes",#REF!,#REF!)),0)</f>
        <v>#REF!</v>
      </c>
    </row>
    <row r="16" spans="1:19" s="50" customFormat="1" ht="12" customHeight="1" x14ac:dyDescent="0.25">
      <c r="A16" s="48">
        <f t="shared" si="0"/>
        <v>0</v>
      </c>
      <c r="B16" s="83"/>
      <c r="C16" s="83"/>
      <c r="D16" s="99"/>
      <c r="E16" s="99"/>
      <c r="F16" s="99"/>
      <c r="G16" s="84"/>
      <c r="H16" s="89"/>
      <c r="I16" s="314"/>
      <c r="J16" s="314"/>
      <c r="K16" s="274"/>
      <c r="L16" s="89"/>
      <c r="M16" s="49"/>
      <c r="N16" s="56" t="e">
        <f>IF(AND(#REF!="composite wood",(COUNTIF(#REF!,"Y")+COUNTIF(#REF!,"Y")+COUNTIF(#REF!,"Y")+COUNTIF(#REF!,"Y"))=0),"Yes","No")</f>
        <v>#REF!</v>
      </c>
      <c r="O16" s="56" t="e">
        <f>IF(AND(N16="Yes",#REF!="Y"),1,0)</f>
        <v>#REF!</v>
      </c>
      <c r="Q16" s="52" t="e">
        <f>IF(#REF!="Yes",1,COUNTIF(#REF!,"Y")+COUNTIF(#REF!,"Y")+COUNTIF(#REF!,"Y")+COUNTIF(#REF!,"Y")+COUNTIF(#REF!,"Y"))</f>
        <v>#REF!</v>
      </c>
      <c r="R16" s="52" t="e">
        <f>IF(#REF!="Yes",1,COUNTIF(#REF!,"Y")+COUNTIF(#REF!,"Y")+COUNTIF(#REF!,"Y")+COUNTIF(#REF!,"Y")+COUNTIF(#REF!,"Y"))</f>
        <v>#REF!</v>
      </c>
      <c r="S16" s="53" t="e">
        <f>IF(AND(Q16&gt;0,R16=Q16),IF(AND(#REF!=0,#REF!=0),#REF!,IF(#REF!="Yes",#REF!,#REF!)),0)</f>
        <v>#REF!</v>
      </c>
    </row>
    <row r="17" spans="1:26" s="50" customFormat="1" ht="12" customHeight="1" x14ac:dyDescent="0.25">
      <c r="A17" s="48">
        <f t="shared" si="0"/>
        <v>0</v>
      </c>
      <c r="B17" s="83"/>
      <c r="C17" s="83"/>
      <c r="D17" s="99"/>
      <c r="E17" s="99"/>
      <c r="F17" s="99"/>
      <c r="G17" s="84"/>
      <c r="H17" s="89"/>
      <c r="I17" s="314"/>
      <c r="J17" s="314"/>
      <c r="K17" s="274"/>
      <c r="L17" s="89"/>
      <c r="M17" s="49"/>
      <c r="N17" s="56" t="e">
        <f>IF(AND(#REF!="composite wood",(COUNTIF(#REF!,"Y")+COUNTIF(#REF!,"Y")+COUNTIF(#REF!,"Y")+COUNTIF(#REF!,"Y"))=0),"Yes","No")</f>
        <v>#REF!</v>
      </c>
      <c r="O17" s="56" t="e">
        <f>IF(AND(N17="Yes",#REF!="Y"),1,0)</f>
        <v>#REF!</v>
      </c>
      <c r="Q17" s="52" t="e">
        <f>IF(#REF!="Yes",1,COUNTIF(#REF!,"Y")+COUNTIF(#REF!,"Y")+COUNTIF(#REF!,"Y")+COUNTIF(#REF!,"Y")+COUNTIF(#REF!,"Y"))</f>
        <v>#REF!</v>
      </c>
      <c r="R17" s="52" t="e">
        <f>IF(#REF!="Yes",1,COUNTIF(#REF!,"Y")+COUNTIF(#REF!,"Y")+COUNTIF(#REF!,"Y")+COUNTIF(#REF!,"Y")+COUNTIF(#REF!,"Y"))</f>
        <v>#REF!</v>
      </c>
      <c r="S17" s="53" t="e">
        <f>IF(AND(Q17&gt;0,R17=Q17),IF(AND(#REF!=0,#REF!=0),#REF!,IF(#REF!="Yes",#REF!,#REF!)),0)</f>
        <v>#REF!</v>
      </c>
    </row>
    <row r="18" spans="1:26" s="50" customFormat="1" ht="12" customHeight="1" x14ac:dyDescent="0.25">
      <c r="A18" s="48">
        <f t="shared" si="0"/>
        <v>0</v>
      </c>
      <c r="B18" s="83"/>
      <c r="C18" s="83"/>
      <c r="D18" s="99"/>
      <c r="E18" s="99"/>
      <c r="F18" s="99"/>
      <c r="G18" s="84"/>
      <c r="H18" s="89"/>
      <c r="I18" s="314"/>
      <c r="J18" s="314"/>
      <c r="K18" s="274"/>
      <c r="L18" s="89"/>
      <c r="M18" s="49"/>
      <c r="N18" s="56" t="e">
        <f>IF(AND(#REF!="composite wood",(COUNTIF(#REF!,"Y")+COUNTIF(#REF!,"Y")+COUNTIF(#REF!,"Y")+COUNTIF(#REF!,"Y"))=0),"Yes","No")</f>
        <v>#REF!</v>
      </c>
      <c r="O18" s="56" t="e">
        <f>IF(AND(N18="Yes",#REF!="Y"),1,0)</f>
        <v>#REF!</v>
      </c>
      <c r="Q18" s="52" t="e">
        <f>IF(#REF!="Yes",1,COUNTIF(#REF!,"Y")+COUNTIF(#REF!,"Y")+COUNTIF(#REF!,"Y")+COUNTIF(#REF!,"Y")+COUNTIF(#REF!,"Y"))</f>
        <v>#REF!</v>
      </c>
      <c r="R18" s="52" t="e">
        <f>IF(#REF!="Yes",1,COUNTIF(#REF!,"Y")+COUNTIF(#REF!,"Y")+COUNTIF(#REF!,"Y")+COUNTIF(#REF!,"Y")+COUNTIF(#REF!,"Y"))</f>
        <v>#REF!</v>
      </c>
      <c r="S18" s="53" t="e">
        <f>IF(AND(Q18&gt;0,R18=Q18),IF(AND(#REF!=0,#REF!=0),#REF!,IF(#REF!="Yes",#REF!,#REF!)),0)</f>
        <v>#REF!</v>
      </c>
    </row>
    <row r="19" spans="1:26" s="50" customFormat="1" ht="12" customHeight="1" x14ac:dyDescent="0.25">
      <c r="A19" s="48">
        <f t="shared" si="0"/>
        <v>0</v>
      </c>
      <c r="B19" s="83"/>
      <c r="C19" s="83"/>
      <c r="D19" s="99"/>
      <c r="E19" s="99"/>
      <c r="F19" s="99"/>
      <c r="G19" s="84"/>
      <c r="H19" s="89"/>
      <c r="I19" s="314"/>
      <c r="J19" s="314"/>
      <c r="K19" s="274"/>
      <c r="L19" s="89"/>
      <c r="M19" s="49"/>
      <c r="N19" s="56" t="e">
        <f>IF(AND(#REF!="composite wood",(COUNTIF(#REF!,"Y")+COUNTIF(#REF!,"Y")+COUNTIF(#REF!,"Y")+COUNTIF(#REF!,"Y"))=0),"Yes","No")</f>
        <v>#REF!</v>
      </c>
      <c r="O19" s="56" t="e">
        <f>IF(AND(N19="Yes",#REF!="Y"),1,0)</f>
        <v>#REF!</v>
      </c>
      <c r="Q19" s="52" t="e">
        <f>IF(#REF!="Yes",1,COUNTIF(#REF!,"Y")+COUNTIF(#REF!,"Y")+COUNTIF(#REF!,"Y")+COUNTIF(#REF!,"Y")+COUNTIF(#REF!,"Y"))</f>
        <v>#REF!</v>
      </c>
      <c r="R19" s="52" t="e">
        <f>IF(#REF!="Yes",1,COUNTIF(#REF!,"Y")+COUNTIF(#REF!,"Y")+COUNTIF(#REF!,"Y")+COUNTIF(#REF!,"Y")+COUNTIF(#REF!,"Y"))</f>
        <v>#REF!</v>
      </c>
      <c r="S19" s="53" t="e">
        <f>IF(AND(Q19&gt;0,R19=Q19),IF(AND(#REF!=0,#REF!=0),#REF!,IF(#REF!="Yes",#REF!,#REF!)),0)</f>
        <v>#REF!</v>
      </c>
    </row>
    <row r="20" spans="1:26" s="50" customFormat="1" ht="12" customHeight="1" x14ac:dyDescent="0.25">
      <c r="A20" s="48"/>
      <c r="B20" s="83"/>
      <c r="C20" s="83"/>
      <c r="D20" s="99"/>
      <c r="E20" s="99"/>
      <c r="F20" s="99"/>
      <c r="G20" s="84"/>
      <c r="H20" s="89"/>
      <c r="I20" s="314"/>
      <c r="J20" s="314"/>
      <c r="K20" s="274"/>
      <c r="L20" s="89"/>
      <c r="M20" s="49"/>
      <c r="N20" s="56" t="e">
        <f>IF(AND(#REF!="composite wood",(COUNTIF(#REF!,"Y")+COUNTIF(#REF!,"Y")+COUNTIF(#REF!,"Y")+COUNTIF(#REF!,"Y"))=0),"Yes","No")</f>
        <v>#REF!</v>
      </c>
      <c r="O20" s="56" t="e">
        <f>IF(AND(N20="Yes",#REF!="Y"),1,0)</f>
        <v>#REF!</v>
      </c>
      <c r="Q20" s="52" t="e">
        <f>IF(#REF!="Yes",1,COUNTIF(#REF!,"Y")+COUNTIF(#REF!,"Y")+COUNTIF(#REF!,"Y")+COUNTIF(#REF!,"Y")+COUNTIF(#REF!,"Y"))</f>
        <v>#REF!</v>
      </c>
      <c r="R20" s="52" t="e">
        <f>IF(#REF!="Yes",1,COUNTIF(#REF!,"Y")+COUNTIF(#REF!,"Y")+COUNTIF(#REF!,"Y")+COUNTIF(#REF!,"Y")+COUNTIF(#REF!,"Y"))</f>
        <v>#REF!</v>
      </c>
      <c r="S20" s="53" t="e">
        <f>IF(AND(Q20&gt;0,R20=Q20),IF(AND(#REF!=0,#REF!=0),#REF!,IF(#REF!="Yes",#REF!,#REF!)),0)</f>
        <v>#REF!</v>
      </c>
    </row>
    <row r="21" spans="1:26" s="50" customFormat="1" ht="12" customHeight="1" x14ac:dyDescent="0.25">
      <c r="A21" s="48"/>
      <c r="B21" s="83"/>
      <c r="C21" s="83"/>
      <c r="D21" s="99"/>
      <c r="E21" s="99"/>
      <c r="F21" s="99"/>
      <c r="G21" s="84"/>
      <c r="H21" s="89"/>
      <c r="I21" s="314"/>
      <c r="J21" s="314"/>
      <c r="K21" s="274"/>
      <c r="L21" s="89"/>
      <c r="M21" s="49"/>
      <c r="N21" s="56" t="e">
        <f>IF(AND(#REF!="composite wood",(COUNTIF(#REF!,"Y")+COUNTIF(#REF!,"Y")+COUNTIF(#REF!,"Y")+COUNTIF(#REF!,"Y"))=0),"Yes","No")</f>
        <v>#REF!</v>
      </c>
      <c r="O21" s="56" t="e">
        <f>IF(AND(N21="Yes",#REF!="Y"),1,0)</f>
        <v>#REF!</v>
      </c>
      <c r="Q21" s="52" t="e">
        <f>IF(#REF!="Yes",1,COUNTIF(#REF!,"Y")+COUNTIF(#REF!,"Y")+COUNTIF(#REF!,"Y")+COUNTIF(#REF!,"Y")+COUNTIF(#REF!,"Y"))</f>
        <v>#REF!</v>
      </c>
      <c r="R21" s="52" t="e">
        <f>IF(#REF!="Yes",1,COUNTIF(#REF!,"Y")+COUNTIF(#REF!,"Y")+COUNTIF(#REF!,"Y")+COUNTIF(#REF!,"Y")+COUNTIF(#REF!,"Y"))</f>
        <v>#REF!</v>
      </c>
      <c r="S21" s="53" t="e">
        <f>IF(AND(Q21&gt;0,R21=Q21),IF(AND(#REF!=0,#REF!=0),#REF!,IF(#REF!="Yes",#REF!,#REF!)),0)</f>
        <v>#REF!</v>
      </c>
    </row>
    <row r="22" spans="1:26" s="3" customFormat="1" ht="21" customHeight="1" x14ac:dyDescent="0.25">
      <c r="A22" s="43" t="s">
        <v>371</v>
      </c>
      <c r="B22" s="90"/>
      <c r="C22" s="90"/>
      <c r="D22" s="91"/>
      <c r="E22" s="91"/>
      <c r="F22" s="91"/>
      <c r="G22" s="286"/>
      <c r="H22" s="311"/>
      <c r="I22" s="311"/>
      <c r="J22" s="311"/>
      <c r="K22" s="275"/>
      <c r="L22" s="93"/>
      <c r="M22" s="4"/>
      <c r="N22" s="287"/>
      <c r="O22" s="287"/>
      <c r="P22" s="287"/>
      <c r="Q22" s="287"/>
      <c r="R22" s="287"/>
      <c r="S22" s="287"/>
      <c r="T22" s="287"/>
      <c r="U22" s="287"/>
      <c r="V22" s="287"/>
      <c r="W22" s="287"/>
      <c r="X22" s="287"/>
      <c r="Y22" s="287"/>
      <c r="Z22" s="287"/>
    </row>
    <row r="23" spans="1:26" s="3" customFormat="1" ht="30.75" customHeight="1" x14ac:dyDescent="0.25">
      <c r="A23" s="43"/>
      <c r="B23" s="74"/>
      <c r="C23" s="74"/>
      <c r="D23" s="17"/>
      <c r="E23" s="17"/>
      <c r="F23" s="17"/>
      <c r="G23" s="287"/>
      <c r="H23" s="287"/>
      <c r="I23" s="287"/>
      <c r="J23" s="287"/>
      <c r="K23" s="77"/>
      <c r="L23" s="1"/>
      <c r="M23" s="4"/>
      <c r="N23" s="287"/>
      <c r="O23" s="287"/>
      <c r="P23" s="287"/>
      <c r="Q23" s="287"/>
      <c r="R23" s="287"/>
      <c r="S23" s="287"/>
      <c r="T23" s="287"/>
      <c r="U23" s="287"/>
      <c r="V23" s="287"/>
      <c r="W23" s="287"/>
      <c r="X23" s="287"/>
      <c r="Y23" s="287"/>
      <c r="Z23" s="287"/>
    </row>
    <row r="24" spans="1:26" s="3" customFormat="1" ht="27.75" customHeight="1" x14ac:dyDescent="0.25">
      <c r="A24" s="43"/>
      <c r="B24" s="365" t="s">
        <v>408</v>
      </c>
      <c r="C24" s="365"/>
      <c r="D24" s="365"/>
      <c r="E24" s="365"/>
      <c r="F24" s="96">
        <f>IF($E$5="Cost", SUM(E10:E21), "n/a")</f>
        <v>0</v>
      </c>
      <c r="G24" s="287"/>
      <c r="H24" s="287"/>
      <c r="I24" s="287"/>
      <c r="J24" s="287"/>
      <c r="K24" s="77"/>
      <c r="L24" s="1"/>
      <c r="M24" s="4"/>
      <c r="N24" s="287"/>
      <c r="O24" s="287"/>
      <c r="P24" s="287"/>
      <c r="Q24" s="287"/>
      <c r="R24" s="287"/>
      <c r="S24" s="287"/>
      <c r="T24" s="287"/>
      <c r="U24" s="287"/>
      <c r="V24" s="287"/>
      <c r="W24" s="287"/>
      <c r="X24" s="287"/>
      <c r="Y24" s="287"/>
      <c r="Z24" s="287"/>
    </row>
    <row r="25" spans="1:26" s="3" customFormat="1" ht="30" customHeight="1" x14ac:dyDescent="0.25">
      <c r="A25" s="43"/>
      <c r="B25" s="366" t="s">
        <v>409</v>
      </c>
      <c r="C25" s="366"/>
      <c r="D25" s="366"/>
      <c r="E25" s="366"/>
      <c r="F25" s="96" cm="1">
        <f t="array" ref="F25">IF($E$5="surface area","n/a",SUMPRODUCT(E10:E21,_xlfn.XLOOKUP(G10:G21,reportingTypeOptionsList,reportingTypeCompliantList,0)))</f>
        <v>0</v>
      </c>
      <c r="G25" s="287"/>
      <c r="H25" s="287"/>
      <c r="I25" s="287"/>
      <c r="J25" s="287"/>
      <c r="K25" s="77"/>
      <c r="L25" s="1"/>
      <c r="M25" s="4"/>
      <c r="N25" s="287"/>
      <c r="O25" s="287"/>
      <c r="P25" s="287"/>
      <c r="Q25" s="287"/>
      <c r="R25" s="287"/>
      <c r="S25" s="287"/>
      <c r="T25" s="287"/>
      <c r="U25" s="287"/>
      <c r="V25" s="287"/>
      <c r="W25" s="287"/>
      <c r="X25" s="287"/>
      <c r="Y25" s="287"/>
      <c r="Z25" s="287"/>
    </row>
    <row r="26" spans="1:26" s="3" customFormat="1" ht="45" customHeight="1" x14ac:dyDescent="0.25">
      <c r="A26" s="43"/>
      <c r="B26" s="366" t="s">
        <v>410</v>
      </c>
      <c r="C26" s="366"/>
      <c r="D26" s="366"/>
      <c r="E26" s="366"/>
      <c r="F26" s="141">
        <f>IF($E$5="Cost",IFERROR($F25/$F24,0),"n/a")</f>
        <v>0</v>
      </c>
      <c r="G26" s="287"/>
      <c r="H26" s="287"/>
      <c r="I26" s="287"/>
      <c r="J26" s="287"/>
      <c r="K26"/>
      <c r="L26"/>
      <c r="M26" s="4"/>
      <c r="N26" s="287"/>
      <c r="O26" s="287"/>
      <c r="P26" s="287"/>
      <c r="Q26" s="287"/>
      <c r="R26" s="287"/>
      <c r="S26" s="287"/>
      <c r="T26" s="287"/>
      <c r="U26" s="287"/>
      <c r="V26" s="287"/>
      <c r="W26" s="287"/>
      <c r="X26" s="287"/>
      <c r="Y26" s="287"/>
      <c r="Z26" s="287"/>
    </row>
    <row r="27" spans="1:26" s="3" customFormat="1" ht="21" customHeight="1" x14ac:dyDescent="0.25">
      <c r="A27" s="43"/>
      <c r="B27" s="82"/>
      <c r="C27" s="82"/>
      <c r="D27" s="82"/>
      <c r="E27" s="82"/>
      <c r="F27" s="17"/>
      <c r="G27" s="287"/>
      <c r="H27" s="287"/>
      <c r="I27" s="287"/>
      <c r="J27" s="287"/>
      <c r="K27"/>
      <c r="L27"/>
      <c r="M27" s="4"/>
      <c r="N27" s="287"/>
      <c r="O27" s="287"/>
      <c r="P27" s="287"/>
      <c r="Q27" s="287"/>
      <c r="R27" s="287"/>
      <c r="S27" s="287"/>
      <c r="T27" s="287"/>
      <c r="U27" s="287"/>
      <c r="V27" s="287"/>
      <c r="W27" s="287"/>
      <c r="X27" s="287"/>
      <c r="Y27" s="287"/>
      <c r="Z27" s="287"/>
    </row>
    <row r="28" spans="1:26" s="3" customFormat="1" ht="22.5" customHeight="1" x14ac:dyDescent="0.25">
      <c r="A28" s="43"/>
      <c r="B28" s="367" t="str">
        <f>"Total surface area of ceilings" &amp; IF(Instructions!$H$10="IP Units", " (sq ft)", IF(Instructions!$H$10="SI Units"," (sq m)"))</f>
        <v>Total surface area of ceilings (sq ft)</v>
      </c>
      <c r="C28" s="367"/>
      <c r="D28" s="367"/>
      <c r="E28" s="367"/>
      <c r="F28" s="96" t="str">
        <f>IF($E$5="Surface area", SUM(F10:F21), "n/a")</f>
        <v>n/a</v>
      </c>
      <c r="G28" s="287"/>
      <c r="H28" s="287"/>
      <c r="I28" s="287"/>
      <c r="J28" s="287"/>
      <c r="K28"/>
      <c r="L28"/>
      <c r="M28" s="4"/>
      <c r="N28" s="287"/>
      <c r="O28" s="287"/>
      <c r="P28" s="287"/>
      <c r="Q28" s="287"/>
      <c r="R28" s="287"/>
      <c r="S28" s="287"/>
      <c r="T28" s="287"/>
      <c r="U28" s="287"/>
      <c r="V28" s="287"/>
      <c r="W28" s="287"/>
      <c r="X28" s="287"/>
      <c r="Y28" s="287"/>
      <c r="Z28" s="287"/>
    </row>
    <row r="29" spans="1:26" s="3" customFormat="1" ht="30.6" customHeight="1" x14ac:dyDescent="0.25">
      <c r="A29" s="43"/>
      <c r="B29" s="366"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C29" s="366"/>
      <c r="D29" s="366"/>
      <c r="E29" s="366"/>
      <c r="F29" s="96" t="str" cm="1">
        <f t="array" ref="F29">IF($E$5="cost","n/a",SUMPRODUCT(F10:F21,_xlfn.XLOOKUP(G10:G21,reportingTypeOptionsList,reportingTypeCompliantList,0)))</f>
        <v>n/a</v>
      </c>
      <c r="G29" s="287"/>
      <c r="H29" s="287"/>
      <c r="I29" s="287"/>
      <c r="J29" s="287"/>
      <c r="K29"/>
      <c r="L29"/>
      <c r="M29" s="4"/>
      <c r="N29" s="287"/>
      <c r="O29" s="287"/>
      <c r="P29" s="287"/>
      <c r="Q29" s="287"/>
      <c r="R29" s="287"/>
      <c r="S29" s="287"/>
      <c r="T29" s="287"/>
      <c r="U29" s="287"/>
      <c r="V29" s="287"/>
      <c r="W29" s="287"/>
      <c r="X29" s="287"/>
      <c r="Y29" s="287"/>
      <c r="Z29" s="287"/>
    </row>
    <row r="30" spans="1:26" s="3" customFormat="1" ht="39" customHeight="1" x14ac:dyDescent="0.25">
      <c r="A30" s="43"/>
      <c r="B30" s="366" t="s">
        <v>411</v>
      </c>
      <c r="C30" s="366"/>
      <c r="D30" s="366"/>
      <c r="E30" s="366"/>
      <c r="F30" s="141" t="str">
        <f>IF($E$5="Surface area",IFERROR($F29/$F28,0),"n/a")</f>
        <v>n/a</v>
      </c>
      <c r="G30" s="287"/>
      <c r="H30" s="287"/>
      <c r="I30" s="287"/>
      <c r="J30" s="287"/>
      <c r="K30"/>
      <c r="L30"/>
      <c r="M30" s="4"/>
      <c r="N30" s="287"/>
      <c r="O30" s="287"/>
      <c r="P30" s="287"/>
      <c r="Q30" s="287"/>
      <c r="R30" s="287"/>
      <c r="S30" s="287"/>
      <c r="T30" s="287"/>
      <c r="U30" s="287"/>
      <c r="V30" s="287"/>
      <c r="W30" s="287"/>
      <c r="X30" s="287"/>
      <c r="Y30" s="287"/>
      <c r="Z30" s="287"/>
    </row>
    <row r="31" spans="1:26" s="3" customFormat="1" ht="21" customHeight="1" x14ac:dyDescent="0.25">
      <c r="A31" s="43"/>
      <c r="B31" s="17"/>
      <c r="C31" s="17"/>
      <c r="D31" s="17"/>
      <c r="E31" s="17"/>
      <c r="F31" s="17"/>
      <c r="G31" s="287"/>
      <c r="H31" s="287"/>
      <c r="I31" s="287"/>
      <c r="J31" s="287"/>
      <c r="K31"/>
      <c r="L31"/>
      <c r="M31" s="4"/>
      <c r="N31" s="287"/>
      <c r="O31" s="287"/>
      <c r="P31" s="287"/>
      <c r="Q31" s="287"/>
      <c r="R31" s="287"/>
      <c r="S31" s="287"/>
      <c r="T31" s="287"/>
      <c r="U31" s="287"/>
      <c r="V31" s="287"/>
      <c r="W31" s="287"/>
      <c r="X31" s="287"/>
      <c r="Y31" s="287"/>
      <c r="Z31" s="287"/>
    </row>
    <row r="32" spans="1:26" s="58" customFormat="1" ht="32.25" customHeight="1" x14ac:dyDescent="0.25">
      <c r="K32"/>
      <c r="L32"/>
      <c r="M32" s="79"/>
    </row>
    <row r="33" spans="2:26" s="58" customFormat="1" ht="37.5" customHeight="1" x14ac:dyDescent="0.25">
      <c r="D33" s="80"/>
      <c r="E33" s="80"/>
      <c r="K33"/>
      <c r="L33"/>
      <c r="M33" s="79"/>
    </row>
    <row r="34" spans="2:26" s="58" customFormat="1" ht="39" customHeight="1" x14ac:dyDescent="0.25">
      <c r="K34"/>
      <c r="L34"/>
      <c r="M34" s="79"/>
    </row>
    <row r="35" spans="2:26" s="17" customFormat="1" ht="21" customHeight="1" x14ac:dyDescent="0.25">
      <c r="K35"/>
      <c r="L35"/>
      <c r="M35" s="79"/>
    </row>
    <row r="36" spans="2:26" s="17" customFormat="1" ht="21" customHeight="1" x14ac:dyDescent="0.25">
      <c r="K36"/>
      <c r="L36"/>
      <c r="M36" s="79"/>
    </row>
    <row r="37" spans="2:26" s="17" customFormat="1" ht="21" customHeight="1" x14ac:dyDescent="0.25">
      <c r="K37"/>
      <c r="L37"/>
      <c r="M37" s="79"/>
    </row>
    <row r="38" spans="2:26" s="17" customFormat="1" ht="21" customHeight="1" x14ac:dyDescent="0.25">
      <c r="K38"/>
      <c r="L38"/>
      <c r="M38" s="79"/>
    </row>
    <row r="39" spans="2:26" s="58" customFormat="1" ht="21" customHeight="1" x14ac:dyDescent="0.25">
      <c r="K39"/>
      <c r="L39"/>
      <c r="M39" s="79"/>
    </row>
    <row r="40" spans="2:26" ht="21" customHeight="1" x14ac:dyDescent="0.25">
      <c r="B40" s="73"/>
      <c r="C40" s="73"/>
      <c r="D40" s="73"/>
      <c r="E40" s="73"/>
      <c r="F40" s="73"/>
      <c r="G40" s="73"/>
      <c r="H40" s="73"/>
      <c r="I40" s="73"/>
      <c r="J40" s="73"/>
      <c r="K40"/>
      <c r="L40"/>
      <c r="N40" s="73"/>
      <c r="O40" s="73"/>
      <c r="P40" s="73"/>
      <c r="Q40" s="73"/>
      <c r="R40" s="73"/>
      <c r="S40" s="73"/>
      <c r="T40" s="73"/>
      <c r="U40" s="73"/>
      <c r="V40" s="73"/>
      <c r="W40" s="73"/>
      <c r="X40" s="73"/>
      <c r="Y40" s="73"/>
      <c r="Z40" s="73"/>
    </row>
    <row r="41" spans="2:26" ht="21" customHeight="1" x14ac:dyDescent="0.25">
      <c r="B41" s="73"/>
      <c r="C41" s="73"/>
      <c r="D41" s="73"/>
      <c r="E41" s="73"/>
      <c r="F41" s="73"/>
      <c r="G41" s="73"/>
      <c r="H41" s="73"/>
      <c r="I41" s="73"/>
      <c r="J41" s="73"/>
      <c r="K41"/>
      <c r="L41"/>
      <c r="N41" s="73"/>
      <c r="O41" s="73"/>
      <c r="P41" s="73"/>
      <c r="Q41" s="73"/>
      <c r="R41" s="73"/>
      <c r="S41" s="73"/>
      <c r="T41" s="73"/>
      <c r="U41" s="73"/>
      <c r="V41" s="73"/>
      <c r="W41" s="73"/>
      <c r="X41" s="73"/>
      <c r="Y41" s="73"/>
      <c r="Z41" s="73"/>
    </row>
    <row r="42" spans="2:26" x14ac:dyDescent="0.25">
      <c r="B42" s="73"/>
      <c r="C42" s="73"/>
      <c r="D42" s="73"/>
      <c r="E42" s="73"/>
      <c r="F42" s="73"/>
      <c r="G42" s="73"/>
      <c r="H42" s="73"/>
      <c r="I42" s="73"/>
      <c r="J42" s="73"/>
      <c r="K42"/>
      <c r="L42"/>
      <c r="N42" s="73"/>
      <c r="O42" s="73"/>
      <c r="P42" s="73"/>
      <c r="Q42" s="73"/>
      <c r="R42" s="73"/>
      <c r="S42" s="73"/>
      <c r="T42" s="73"/>
      <c r="U42" s="73"/>
      <c r="V42" s="73"/>
      <c r="W42" s="73"/>
      <c r="X42" s="73"/>
      <c r="Y42" s="73"/>
      <c r="Z42" s="73"/>
    </row>
  </sheetData>
  <sheetProtection algorithmName="SHA-512" hashValue="88WbO1L/OETauir2X0CMHFHwO2qGDY1bOUz1JIaWVCUHRVNyIuumx9iDQ0ftRH+DKV8P9mmLvPvqpHDPGNv3Lg==" saltValue="/Xyah34r7PqwomFrYYKdRw==" spinCount="100000" sheet="1" formatColumns="0" formatRows="0"/>
  <mergeCells count="21">
    <mergeCell ref="B30:E30"/>
    <mergeCell ref="B29:E29"/>
    <mergeCell ref="H8:H9"/>
    <mergeCell ref="I8:I9"/>
    <mergeCell ref="J8:J9"/>
    <mergeCell ref="S8:S9"/>
    <mergeCell ref="B24:E24"/>
    <mergeCell ref="B25:E25"/>
    <mergeCell ref="B26:E26"/>
    <mergeCell ref="B28:E28"/>
    <mergeCell ref="L8:L9"/>
    <mergeCell ref="N8:N9"/>
    <mergeCell ref="O8:O9"/>
    <mergeCell ref="Q8:Q9"/>
    <mergeCell ref="R8:R9"/>
    <mergeCell ref="B8:B9"/>
    <mergeCell ref="C8:C9"/>
    <mergeCell ref="D8:D9"/>
    <mergeCell ref="E8:E9"/>
    <mergeCell ref="F8:F9"/>
    <mergeCell ref="G8:G9"/>
  </mergeCells>
  <conditionalFormatting sqref="E10:E21">
    <cfRule type="expression" dxfId="9" priority="5">
      <formula>$E$5="Surface area"</formula>
    </cfRule>
  </conditionalFormatting>
  <conditionalFormatting sqref="F10:F21">
    <cfRule type="expression" dxfId="8" priority="4">
      <formula>$E$5="Cost"</formula>
    </cfRule>
  </conditionalFormatting>
  <conditionalFormatting sqref="H10:J21">
    <cfRule type="expression" dxfId="7" priority="1">
      <formula>_xlfn.XLOOKUP($G10,reportingTypeOptionsList,reportingTypeAdditionalInfoList)=0</formula>
    </cfRule>
  </conditionalFormatting>
  <dataValidations count="7">
    <dataValidation type="list" allowBlank="1" showInputMessage="1" showErrorMessage="1" sqref="E5" xr:uid="{00000000-0002-0000-0500-000000000000}">
      <formula1>"Cost, Surface area"</formula1>
    </dataValidation>
    <dataValidation type="custom" allowBlank="1" showInputMessage="1" showErrorMessage="1" sqref="F10:F21" xr:uid="{00000000-0002-0000-0500-000001000000}">
      <formula1>AND($E$5="Surface area", ISNUMBER(F10))</formula1>
    </dataValidation>
    <dataValidation type="custom" allowBlank="1" showInputMessage="1" showErrorMessage="1" sqref="E10:E21" xr:uid="{00000000-0002-0000-0500-000002000000}">
      <formula1>AND($E$5="Cost", ISNUMBER(E10))</formula1>
    </dataValidation>
    <dataValidation type="list" allowBlank="1" showInputMessage="1" showErrorMessage="1" sqref="G10:G21" xr:uid="{9A29D78C-B638-4DCC-BB87-A4060EA6C8EB}">
      <formula1>reportingTypeOptionsList</formula1>
    </dataValidation>
    <dataValidation type="list" allowBlank="1" showInputMessage="1" showErrorMessage="1" sqref="H10:H21" xr:uid="{88ED303D-AC26-4272-92B1-54B221B1E702}">
      <formula1>INDIRECT(_xlfn.XLOOKUP(G10,reportingTypeOptionsList,reportingTypeListsList))</formula1>
    </dataValidation>
    <dataValidation type="date" errorStyle="information" allowBlank="1" showInputMessage="1" showErrorMessage="1" error="Invalid date - check format and ensure it is after Certification Period Start Date" sqref="J10:J21" xr:uid="{54839E0C-8B6E-4E5D-84E4-020DD185EBF2}">
      <formula1>I10</formula1>
      <formula2>73051</formula2>
    </dataValidation>
    <dataValidation type="date" errorStyle="information" allowBlank="1" showInputMessage="1" showErrorMessage="1" error="Invalid date - check format and ensure it is before Certification Period End Date" sqref="I10:I21" xr:uid="{FADC0FD8-64E6-423C-912E-360E90238FBB}">
      <formula1>1</formula1>
      <formula2>J10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A">
                <anchor moveWithCells="1">
                  <from>
                    <xdr:col>1</xdr:col>
                    <xdr:colOff>9525</xdr:colOff>
                    <xdr:row>31</xdr:row>
                    <xdr:rowOff>180975</xdr:rowOff>
                  </from>
                  <to>
                    <xdr:col>1</xdr:col>
                    <xdr:colOff>1400175</xdr:colOff>
                    <xdr:row>32</xdr:row>
                    <xdr:rowOff>28575</xdr:rowOff>
                  </to>
                </anchor>
              </controlPr>
            </control>
          </mc:Choice>
        </mc:AlternateContent>
        <mc:AlternateContent xmlns:mc="http://schemas.openxmlformats.org/markup-compatibility/2006">
          <mc:Choice Requires="x14">
            <control shapeId="14338" r:id="rId5" name="Button 2">
              <controlPr defaultSize="0" print="0" autoFill="0" autoPict="0" macro="[0]!DeleteRow">
                <anchor moveWithCells="1">
                  <from>
                    <xdr:col>3</xdr:col>
                    <xdr:colOff>838200</xdr:colOff>
                    <xdr:row>31</xdr:row>
                    <xdr:rowOff>180975</xdr:rowOff>
                  </from>
                  <to>
                    <xdr:col>4</xdr:col>
                    <xdr:colOff>1219200</xdr:colOff>
                    <xdr:row>32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Z42"/>
  <sheetViews>
    <sheetView showGridLines="0" zoomScale="80" zoomScaleNormal="80" zoomScalePageLayoutView="80" workbookViewId="0">
      <pane ySplit="9" topLeftCell="A10" activePane="bottomLeft" state="frozen"/>
      <selection activeCell="F30" sqref="F30"/>
      <selection pane="bottomLeft" activeCell="H12" sqref="H12:J13"/>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10" width="30" style="2" customWidth="1"/>
    <col min="11" max="11" width="2.42578125" style="2" customWidth="1"/>
    <col min="12" max="12" width="45.85546875" style="2" customWidth="1"/>
    <col min="13" max="13" width="4" style="4" customWidth="1"/>
    <col min="14" max="15" width="13.28515625" style="2" hidden="1" customWidth="1"/>
    <col min="16" max="16" width="5.7109375" style="2" hidden="1" customWidth="1"/>
    <col min="17" max="18" width="12.42578125" style="2" hidden="1" customWidth="1"/>
    <col min="19" max="19" width="13" style="2" hidden="1" customWidth="1"/>
    <col min="20" max="16384" width="8.85546875" style="2"/>
  </cols>
  <sheetData>
    <row r="1" spans="1:19" ht="15" customHeight="1" x14ac:dyDescent="0.2">
      <c r="A1" s="285"/>
      <c r="B1" s="285"/>
      <c r="C1" s="285"/>
      <c r="D1" s="285"/>
      <c r="E1" s="285"/>
      <c r="F1" s="285"/>
      <c r="G1" s="285"/>
      <c r="H1" s="285"/>
      <c r="I1" s="285"/>
      <c r="J1" s="285"/>
      <c r="K1" s="285"/>
      <c r="L1" s="285"/>
      <c r="M1" s="73"/>
      <c r="N1" s="73"/>
      <c r="O1" s="73"/>
      <c r="P1" s="73"/>
      <c r="Q1" s="73"/>
      <c r="R1" s="73"/>
      <c r="S1" s="73"/>
    </row>
    <row r="2" spans="1:19" ht="20.25" customHeight="1" x14ac:dyDescent="0.2">
      <c r="A2" s="5"/>
      <c r="B2" s="6" t="s">
        <v>412</v>
      </c>
      <c r="C2" s="6"/>
      <c r="D2" s="7"/>
      <c r="E2" s="7"/>
      <c r="F2" s="8"/>
      <c r="G2" s="8"/>
      <c r="H2" s="8"/>
      <c r="I2" s="8"/>
      <c r="J2" s="8"/>
      <c r="K2" s="7"/>
      <c r="L2" s="7"/>
      <c r="M2" s="73"/>
      <c r="N2" s="73"/>
      <c r="O2" s="73"/>
      <c r="P2" s="73"/>
      <c r="Q2" s="73"/>
      <c r="R2" s="73"/>
      <c r="S2" s="73"/>
    </row>
    <row r="3" spans="1:19" ht="15.75" customHeight="1" x14ac:dyDescent="0.2">
      <c r="A3" s="285"/>
      <c r="B3" s="285"/>
      <c r="C3" s="285"/>
      <c r="D3" s="285"/>
      <c r="E3" s="285"/>
      <c r="F3" s="285"/>
      <c r="G3" s="285"/>
      <c r="H3" s="285"/>
      <c r="I3" s="285"/>
      <c r="J3" s="285"/>
      <c r="K3" s="285"/>
      <c r="L3" s="285"/>
      <c r="M3" s="73"/>
      <c r="N3" s="73"/>
      <c r="O3" s="73"/>
      <c r="P3" s="73"/>
      <c r="Q3" s="73"/>
      <c r="R3" s="73"/>
      <c r="S3" s="73"/>
    </row>
    <row r="4" spans="1:19" ht="22.5" customHeight="1" x14ac:dyDescent="0.25">
      <c r="A4" s="73"/>
      <c r="B4" s="73"/>
      <c r="C4" s="73"/>
      <c r="D4" s="73"/>
      <c r="E4" s="73"/>
      <c r="F4" s="73"/>
      <c r="G4" s="73"/>
      <c r="H4" s="73"/>
      <c r="I4" s="73"/>
      <c r="J4" s="73"/>
      <c r="K4" s="73"/>
      <c r="L4" s="73"/>
      <c r="N4" s="73"/>
      <c r="O4" s="73"/>
      <c r="P4" s="73"/>
      <c r="Q4" s="73"/>
      <c r="R4" s="73"/>
      <c r="S4" s="73"/>
    </row>
    <row r="5" spans="1:19" ht="15.6" customHeight="1" x14ac:dyDescent="0.25">
      <c r="A5" s="73"/>
      <c r="B5" s="73" t="s">
        <v>337</v>
      </c>
      <c r="C5" s="73"/>
      <c r="D5" s="73"/>
      <c r="E5" s="114" t="s">
        <v>402</v>
      </c>
      <c r="F5" s="73"/>
      <c r="G5" s="73"/>
      <c r="H5" s="73"/>
      <c r="I5" s="73"/>
      <c r="J5" s="73"/>
      <c r="K5" s="73"/>
      <c r="L5" s="73"/>
      <c r="N5" s="73"/>
      <c r="O5" s="73"/>
      <c r="P5" s="73"/>
      <c r="Q5" s="73"/>
      <c r="R5" s="73"/>
      <c r="S5" s="73"/>
    </row>
    <row r="6" spans="1:19" ht="15.75" customHeight="1" x14ac:dyDescent="0.25">
      <c r="A6" s="73"/>
      <c r="B6" s="73"/>
      <c r="C6" s="73"/>
      <c r="D6" s="73"/>
      <c r="E6" s="73"/>
      <c r="F6" s="73"/>
      <c r="G6" s="73"/>
      <c r="H6" s="73"/>
      <c r="I6" s="73"/>
      <c r="J6" s="73"/>
      <c r="K6" s="73"/>
      <c r="L6" s="73"/>
      <c r="N6" s="73"/>
      <c r="O6" s="73"/>
      <c r="P6" s="73"/>
      <c r="Q6" s="73"/>
      <c r="R6" s="73"/>
      <c r="S6" s="73"/>
    </row>
    <row r="7" spans="1:19" ht="22.5" customHeight="1" x14ac:dyDescent="0.25">
      <c r="A7" s="73"/>
      <c r="B7" s="73"/>
      <c r="C7" s="73"/>
      <c r="D7" s="73"/>
      <c r="E7" s="73"/>
      <c r="F7" s="73"/>
      <c r="G7" s="73"/>
      <c r="H7" s="73"/>
      <c r="I7" s="73"/>
      <c r="J7" s="73"/>
      <c r="K7" s="73"/>
      <c r="L7" s="73"/>
      <c r="N7" s="73"/>
      <c r="O7" s="73"/>
      <c r="P7" s="73"/>
      <c r="Q7" s="73"/>
      <c r="R7" s="73"/>
      <c r="S7" s="73"/>
    </row>
    <row r="8" spans="1:19" ht="24.75" customHeight="1" x14ac:dyDescent="0.25">
      <c r="A8" s="73"/>
      <c r="B8" s="351" t="s">
        <v>341</v>
      </c>
      <c r="C8" s="351" t="s">
        <v>342</v>
      </c>
      <c r="D8" s="351" t="s">
        <v>343</v>
      </c>
      <c r="E8" s="351" t="s">
        <v>392</v>
      </c>
      <c r="F8" s="351" t="str">
        <f>"Product surface area" &amp; IF(Instructions!$H$10="IP Units", " (sq ft)", IF(Instructions!$H$10="SI Units"," (sq m)"))</f>
        <v>Product surface area (sq ft)</v>
      </c>
      <c r="G8" s="348" t="s">
        <v>348</v>
      </c>
      <c r="H8" s="348" t="s">
        <v>349</v>
      </c>
      <c r="I8" s="348" t="s">
        <v>350</v>
      </c>
      <c r="J8" s="348" t="s">
        <v>351</v>
      </c>
      <c r="K8" s="273"/>
      <c r="L8" s="351" t="s">
        <v>393</v>
      </c>
      <c r="N8" s="345" t="s">
        <v>356</v>
      </c>
      <c r="O8" s="345" t="s">
        <v>357</v>
      </c>
      <c r="P8" s="73"/>
      <c r="Q8" s="347" t="s">
        <v>358</v>
      </c>
      <c r="R8" s="347" t="s">
        <v>359</v>
      </c>
      <c r="S8" s="344" t="s">
        <v>360</v>
      </c>
    </row>
    <row r="9" spans="1:19" ht="51" customHeight="1" x14ac:dyDescent="0.25">
      <c r="A9" s="73"/>
      <c r="B9" s="351"/>
      <c r="C9" s="351"/>
      <c r="D9" s="351"/>
      <c r="E9" s="351"/>
      <c r="F9" s="351"/>
      <c r="G9" s="348"/>
      <c r="H9" s="348"/>
      <c r="I9" s="348"/>
      <c r="J9" s="348"/>
      <c r="K9" s="274"/>
      <c r="L9" s="351"/>
      <c r="N9" s="346"/>
      <c r="O9" s="346"/>
      <c r="P9" s="73"/>
      <c r="Q9" s="347"/>
      <c r="R9" s="347"/>
      <c r="S9" s="344"/>
    </row>
    <row r="10" spans="1:19" s="50" customFormat="1" ht="12" customHeight="1" x14ac:dyDescent="0.25">
      <c r="A10" s="48">
        <f t="shared" ref="A10:A19" si="0">IF(D10&gt;=0,0,0)</f>
        <v>0</v>
      </c>
      <c r="B10" s="83"/>
      <c r="C10" s="83"/>
      <c r="D10" s="99"/>
      <c r="E10" s="99"/>
      <c r="F10" s="99"/>
      <c r="G10" s="84"/>
      <c r="H10" s="89"/>
      <c r="I10" s="314"/>
      <c r="J10" s="314"/>
      <c r="K10" s="274"/>
      <c r="L10" s="89"/>
      <c r="M10" s="49"/>
      <c r="N10" s="51" t="e">
        <f>IF(AND(#REF!="composite wood",(COUNTIF(#REF!,"Y")+COUNTIF(#REF!,"Y")+COUNTIF(#REF!,"Y")+COUNTIF(#REF!,"Y"))=0),"Yes","No")</f>
        <v>#REF!</v>
      </c>
      <c r="O10" s="51" t="e">
        <f>IF(AND(N10="Yes",#REF!="Y"),1,0)</f>
        <v>#REF!</v>
      </c>
      <c r="Q10" s="52" t="e">
        <f>IF(#REF!="Inherently nonemitting",1,COUNTIF(#REF!,"Y")+COUNTIF(#REF!,"Y")+COUNTIF(#REF!,"Y")+COUNTIF(#REF!,"Y")+COUNTIF(#REF!,"Y"))</f>
        <v>#REF!</v>
      </c>
      <c r="R10" s="52" t="e">
        <f>IF(#REF!="Yes",1,COUNTIF(#REF!,"Y")+COUNTIF(#REF!,"Y")+COUNTIF(#REF!,"Y")+COUNTIF(#REF!,"Y")+COUNTIF(#REF!,"Y"))</f>
        <v>#REF!</v>
      </c>
      <c r="S10" s="53" t="e">
        <f>IF(AND(Q10&gt;0,R10=Q10),IF(AND(#REF!=0,#REF!=0),#REF!,IF(#REF!="Yes",#REF!,#REF!)),0)</f>
        <v>#REF!</v>
      </c>
    </row>
    <row r="11" spans="1:19" s="50" customFormat="1" ht="12" customHeight="1" x14ac:dyDescent="0.25">
      <c r="A11" s="48">
        <f t="shared" si="0"/>
        <v>0</v>
      </c>
      <c r="B11" s="83"/>
      <c r="C11" s="83"/>
      <c r="D11" s="99"/>
      <c r="E11" s="99"/>
      <c r="F11" s="99"/>
      <c r="G11" s="84"/>
      <c r="H11" s="89"/>
      <c r="I11" s="314"/>
      <c r="J11" s="314"/>
      <c r="K11" s="274"/>
      <c r="L11" s="89"/>
      <c r="M11" s="49"/>
      <c r="N11" s="56" t="e">
        <f>IF(AND(#REF!="composite wood",(COUNTIF(#REF!,"Y")+COUNTIF(#REF!,"Y")+COUNTIF(#REF!,"Y")+COUNTIF(#REF!,"Y"))=0),"Yes","No")</f>
        <v>#REF!</v>
      </c>
      <c r="O11" s="56" t="e">
        <f>IF(AND(N11="Yes",#REF!="Y"),1,0)</f>
        <v>#REF!</v>
      </c>
      <c r="Q11" s="52" t="e">
        <f>IF(#REF!="Yes",1,COUNTIF(#REF!,"Y")+COUNTIF(#REF!,"Y")+COUNTIF(#REF!,"Y")+COUNTIF(#REF!,"Y")+COUNTIF(#REF!,"Y"))</f>
        <v>#REF!</v>
      </c>
      <c r="R11" s="52" t="e">
        <f>IF(#REF!="Yes",1,COUNTIF(#REF!,"Y")+COUNTIF(#REF!,"Y")+COUNTIF(#REF!,"Y")+COUNTIF(#REF!,"Y")+COUNTIF(#REF!,"Y"))</f>
        <v>#REF!</v>
      </c>
      <c r="S11" s="53" t="e">
        <f>IF(AND(Q11&gt;0,R11=Q11),IF(AND(#REF!=0,#REF!=0),#REF!,IF(#REF!="Yes",#REF!,#REF!)),0)</f>
        <v>#REF!</v>
      </c>
    </row>
    <row r="12" spans="1:19" s="50" customFormat="1" ht="12" customHeight="1" x14ac:dyDescent="0.25">
      <c r="A12" s="48">
        <f t="shared" si="0"/>
        <v>0</v>
      </c>
      <c r="B12" s="83"/>
      <c r="C12" s="83"/>
      <c r="D12" s="99"/>
      <c r="E12" s="99"/>
      <c r="F12" s="99"/>
      <c r="G12" s="84"/>
      <c r="H12" s="89"/>
      <c r="I12" s="314"/>
      <c r="J12" s="314"/>
      <c r="K12" s="274"/>
      <c r="L12" s="89"/>
      <c r="M12" s="49"/>
      <c r="N12" s="56" t="e">
        <f>IF(AND(#REF!="composite wood",(COUNTIF(#REF!,"Y")+COUNTIF(#REF!,"Y")+COUNTIF(#REF!,"Y")+COUNTIF(#REF!,"Y"))=0),"Yes","No")</f>
        <v>#REF!</v>
      </c>
      <c r="O12" s="56" t="e">
        <f>IF(AND(N12="Yes",#REF!="Y"),1,0)</f>
        <v>#REF!</v>
      </c>
      <c r="Q12" s="52" t="e">
        <f>IF(#REF!="Yes",1,COUNTIF(#REF!,"Y")+COUNTIF(#REF!,"Y")+COUNTIF(#REF!,"Y")+COUNTIF(#REF!,"Y")+COUNTIF(#REF!,"Y"))</f>
        <v>#REF!</v>
      </c>
      <c r="R12" s="52" t="e">
        <f>IF(#REF!="Yes",1,COUNTIF(#REF!,"Y")+COUNTIF(#REF!,"Y")+COUNTIF(#REF!,"Y")+COUNTIF(#REF!,"Y")+COUNTIF(#REF!,"Y"))</f>
        <v>#REF!</v>
      </c>
      <c r="S12" s="53" t="e">
        <f>IF(AND(Q12&gt;0,R12=Q12),IF(AND(#REF!=0,#REF!=0),#REF!,IF(#REF!="Yes",#REF!,#REF!)),0)</f>
        <v>#REF!</v>
      </c>
    </row>
    <row r="13" spans="1:19" s="50" customFormat="1" ht="12" customHeight="1" x14ac:dyDescent="0.25">
      <c r="A13" s="48">
        <f t="shared" si="0"/>
        <v>0</v>
      </c>
      <c r="B13" s="83"/>
      <c r="C13" s="83"/>
      <c r="D13" s="99"/>
      <c r="E13" s="99"/>
      <c r="F13" s="99"/>
      <c r="G13" s="84"/>
      <c r="H13" s="89"/>
      <c r="I13" s="314"/>
      <c r="J13" s="314"/>
      <c r="K13" s="274"/>
      <c r="L13" s="89"/>
      <c r="M13" s="49"/>
      <c r="N13" s="56" t="e">
        <f>IF(AND(#REF!="composite wood",(COUNTIF(#REF!,"Y")+COUNTIF(#REF!,"Y")+COUNTIF(#REF!,"Y")+COUNTIF(#REF!,"Y"))=0),"Yes","No")</f>
        <v>#REF!</v>
      </c>
      <c r="O13" s="56" t="e">
        <f>IF(AND(N13="Yes",#REF!="Y"),1,0)</f>
        <v>#REF!</v>
      </c>
      <c r="Q13" s="52" t="e">
        <f>IF(#REF!="Yes",1,COUNTIF(#REF!,"Y")+COUNTIF(#REF!,"Y")+COUNTIF(#REF!,"Y")+COUNTIF(#REF!,"Y")+COUNTIF(#REF!,"Y"))</f>
        <v>#REF!</v>
      </c>
      <c r="R13" s="52" t="e">
        <f>IF(#REF!="Yes",1,COUNTIF(#REF!,"Y")+COUNTIF(#REF!,"Y")+COUNTIF(#REF!,"Y")+COUNTIF(#REF!,"Y")+COUNTIF(#REF!,"Y"))</f>
        <v>#REF!</v>
      </c>
      <c r="S13" s="53" t="e">
        <f>IF(AND(Q13&gt;0,R13=Q13),IF(AND(#REF!=0,#REF!=0),#REF!,IF(#REF!="Yes",#REF!,#REF!)),0)</f>
        <v>#REF!</v>
      </c>
    </row>
    <row r="14" spans="1:19" s="50" customFormat="1" ht="12" customHeight="1" x14ac:dyDescent="0.25">
      <c r="A14" s="48">
        <f t="shared" si="0"/>
        <v>0</v>
      </c>
      <c r="B14" s="83"/>
      <c r="C14" s="83"/>
      <c r="D14" s="99"/>
      <c r="E14" s="99"/>
      <c r="F14" s="99"/>
      <c r="G14" s="84"/>
      <c r="H14" s="89"/>
      <c r="I14" s="314"/>
      <c r="J14" s="314"/>
      <c r="K14" s="274"/>
      <c r="L14" s="89"/>
      <c r="M14" s="49"/>
      <c r="N14" s="56" t="e">
        <f>IF(AND(#REF!="composite wood",(COUNTIF(#REF!,"Y")+COUNTIF(#REF!,"Y")+COUNTIF(#REF!,"Y")+COUNTIF(#REF!,"Y"))=0),"Yes","No")</f>
        <v>#REF!</v>
      </c>
      <c r="O14" s="56" t="e">
        <f>IF(AND(N14="Yes",#REF!="Y"),1,0)</f>
        <v>#REF!</v>
      </c>
      <c r="Q14" s="52" t="e">
        <f>IF(#REF!="Yes",1,COUNTIF(#REF!,"Y")+COUNTIF(#REF!,"Y")+COUNTIF(#REF!,"Y")+COUNTIF(#REF!,"Y")+COUNTIF(#REF!,"Y"))</f>
        <v>#REF!</v>
      </c>
      <c r="R14" s="52" t="e">
        <f>IF(#REF!="Yes",1,COUNTIF(#REF!,"Y")+COUNTIF(#REF!,"Y")+COUNTIF(#REF!,"Y")+COUNTIF(#REF!,"Y")+COUNTIF(#REF!,"Y"))</f>
        <v>#REF!</v>
      </c>
      <c r="S14" s="53" t="e">
        <f>IF(AND(Q14&gt;0,R14=Q14),IF(AND(#REF!=0,#REF!=0),#REF!,IF(#REF!="Yes",#REF!,#REF!)),0)</f>
        <v>#REF!</v>
      </c>
    </row>
    <row r="15" spans="1:19" s="50" customFormat="1" ht="12" customHeight="1" x14ac:dyDescent="0.25">
      <c r="A15" s="48">
        <f t="shared" si="0"/>
        <v>0</v>
      </c>
      <c r="B15" s="83"/>
      <c r="C15" s="83"/>
      <c r="D15" s="99"/>
      <c r="E15" s="99"/>
      <c r="F15" s="99"/>
      <c r="G15" s="84"/>
      <c r="H15" s="89"/>
      <c r="I15" s="314"/>
      <c r="J15" s="314"/>
      <c r="K15" s="274"/>
      <c r="L15" s="89"/>
      <c r="M15" s="49"/>
      <c r="N15" s="56" t="e">
        <f>IF(AND(#REF!="composite wood",(COUNTIF(#REF!,"Y")+COUNTIF(#REF!,"Y")+COUNTIF(#REF!,"Y")+COUNTIF(#REF!,"Y"))=0),"Yes","No")</f>
        <v>#REF!</v>
      </c>
      <c r="O15" s="56" t="e">
        <f>IF(AND(N15="Yes",#REF!="Y"),1,0)</f>
        <v>#REF!</v>
      </c>
      <c r="Q15" s="52" t="e">
        <f>IF(#REF!="Yes",1,COUNTIF(#REF!,"Y")+COUNTIF(#REF!,"Y")+COUNTIF(#REF!,"Y")+COUNTIF(#REF!,"Y")+COUNTIF(#REF!,"Y"))</f>
        <v>#REF!</v>
      </c>
      <c r="R15" s="52" t="e">
        <f>IF(#REF!="Yes",1,COUNTIF(#REF!,"Y")+COUNTIF(#REF!,"Y")+COUNTIF(#REF!,"Y")+COUNTIF(#REF!,"Y")+COUNTIF(#REF!,"Y"))</f>
        <v>#REF!</v>
      </c>
      <c r="S15" s="53" t="e">
        <f>IF(AND(Q15&gt;0,R15=Q15),IF(AND(#REF!=0,#REF!=0),#REF!,IF(#REF!="Yes",#REF!,#REF!)),0)</f>
        <v>#REF!</v>
      </c>
    </row>
    <row r="16" spans="1:19" s="50" customFormat="1" ht="12" customHeight="1" x14ac:dyDescent="0.25">
      <c r="A16" s="48">
        <f t="shared" si="0"/>
        <v>0</v>
      </c>
      <c r="B16" s="83"/>
      <c r="C16" s="83"/>
      <c r="D16" s="99"/>
      <c r="E16" s="99"/>
      <c r="F16" s="99"/>
      <c r="G16" s="84"/>
      <c r="H16" s="89"/>
      <c r="I16" s="314"/>
      <c r="J16" s="314"/>
      <c r="K16" s="274"/>
      <c r="L16" s="89"/>
      <c r="M16" s="49"/>
      <c r="N16" s="56" t="e">
        <f>IF(AND(#REF!="composite wood",(COUNTIF(#REF!,"Y")+COUNTIF(#REF!,"Y")+COUNTIF(#REF!,"Y")+COUNTIF(#REF!,"Y"))=0),"Yes","No")</f>
        <v>#REF!</v>
      </c>
      <c r="O16" s="56" t="e">
        <f>IF(AND(N16="Yes",#REF!="Y"),1,0)</f>
        <v>#REF!</v>
      </c>
      <c r="Q16" s="52" t="e">
        <f>IF(#REF!="Yes",1,COUNTIF(#REF!,"Y")+COUNTIF(#REF!,"Y")+COUNTIF(#REF!,"Y")+COUNTIF(#REF!,"Y")+COUNTIF(#REF!,"Y"))</f>
        <v>#REF!</v>
      </c>
      <c r="R16" s="52" t="e">
        <f>IF(#REF!="Yes",1,COUNTIF(#REF!,"Y")+COUNTIF(#REF!,"Y")+COUNTIF(#REF!,"Y")+COUNTIF(#REF!,"Y")+COUNTIF(#REF!,"Y"))</f>
        <v>#REF!</v>
      </c>
      <c r="S16" s="53" t="e">
        <f>IF(AND(Q16&gt;0,R16=Q16),IF(AND(#REF!=0,#REF!=0),#REF!,IF(#REF!="Yes",#REF!,#REF!)),0)</f>
        <v>#REF!</v>
      </c>
    </row>
    <row r="17" spans="1:26" s="50" customFormat="1" ht="12" customHeight="1" x14ac:dyDescent="0.25">
      <c r="A17" s="48">
        <f t="shared" si="0"/>
        <v>0</v>
      </c>
      <c r="B17" s="83"/>
      <c r="C17" s="83"/>
      <c r="D17" s="99"/>
      <c r="E17" s="99"/>
      <c r="F17" s="99"/>
      <c r="G17" s="84"/>
      <c r="H17" s="89"/>
      <c r="I17" s="314"/>
      <c r="J17" s="314"/>
      <c r="K17" s="274"/>
      <c r="L17" s="89"/>
      <c r="M17" s="49"/>
      <c r="N17" s="56" t="e">
        <f>IF(AND(#REF!="composite wood",(COUNTIF(#REF!,"Y")+COUNTIF(#REF!,"Y")+COUNTIF(#REF!,"Y")+COUNTIF(#REF!,"Y"))=0),"Yes","No")</f>
        <v>#REF!</v>
      </c>
      <c r="O17" s="56" t="e">
        <f>IF(AND(N17="Yes",#REF!="Y"),1,0)</f>
        <v>#REF!</v>
      </c>
      <c r="Q17" s="52" t="e">
        <f>IF(#REF!="Yes",1,COUNTIF(#REF!,"Y")+COUNTIF(#REF!,"Y")+COUNTIF(#REF!,"Y")+COUNTIF(#REF!,"Y")+COUNTIF(#REF!,"Y"))</f>
        <v>#REF!</v>
      </c>
      <c r="R17" s="52" t="e">
        <f>IF(#REF!="Yes",1,COUNTIF(#REF!,"Y")+COUNTIF(#REF!,"Y")+COUNTIF(#REF!,"Y")+COUNTIF(#REF!,"Y")+COUNTIF(#REF!,"Y"))</f>
        <v>#REF!</v>
      </c>
      <c r="S17" s="53" t="e">
        <f>IF(AND(Q17&gt;0,R17=Q17),IF(AND(#REF!=0,#REF!=0),#REF!,IF(#REF!="Yes",#REF!,#REF!)),0)</f>
        <v>#REF!</v>
      </c>
    </row>
    <row r="18" spans="1:26" s="50" customFormat="1" ht="12" customHeight="1" x14ac:dyDescent="0.25">
      <c r="A18" s="48">
        <f t="shared" si="0"/>
        <v>0</v>
      </c>
      <c r="B18" s="83"/>
      <c r="C18" s="83"/>
      <c r="D18" s="99"/>
      <c r="E18" s="99"/>
      <c r="F18" s="99"/>
      <c r="G18" s="84"/>
      <c r="H18" s="89"/>
      <c r="I18" s="314"/>
      <c r="J18" s="314"/>
      <c r="K18" s="274"/>
      <c r="L18" s="89"/>
      <c r="M18" s="49"/>
      <c r="N18" s="56" t="e">
        <f>IF(AND(#REF!="composite wood",(COUNTIF(#REF!,"Y")+COUNTIF(#REF!,"Y")+COUNTIF(#REF!,"Y")+COUNTIF(#REF!,"Y"))=0),"Yes","No")</f>
        <v>#REF!</v>
      </c>
      <c r="O18" s="56" t="e">
        <f>IF(AND(N18="Yes",#REF!="Y"),1,0)</f>
        <v>#REF!</v>
      </c>
      <c r="Q18" s="52" t="e">
        <f>IF(#REF!="Yes",1,COUNTIF(#REF!,"Y")+COUNTIF(#REF!,"Y")+COUNTIF(#REF!,"Y")+COUNTIF(#REF!,"Y")+COUNTIF(#REF!,"Y"))</f>
        <v>#REF!</v>
      </c>
      <c r="R18" s="52" t="e">
        <f>IF(#REF!="Yes",1,COUNTIF(#REF!,"Y")+COUNTIF(#REF!,"Y")+COUNTIF(#REF!,"Y")+COUNTIF(#REF!,"Y")+COUNTIF(#REF!,"Y"))</f>
        <v>#REF!</v>
      </c>
      <c r="S18" s="53" t="e">
        <f>IF(AND(Q18&gt;0,R18=Q18),IF(AND(#REF!=0,#REF!=0),#REF!,IF(#REF!="Yes",#REF!,#REF!)),0)</f>
        <v>#REF!</v>
      </c>
    </row>
    <row r="19" spans="1:26" s="50" customFormat="1" ht="12" customHeight="1" x14ac:dyDescent="0.25">
      <c r="A19" s="48">
        <f t="shared" si="0"/>
        <v>0</v>
      </c>
      <c r="B19" s="83"/>
      <c r="C19" s="83"/>
      <c r="D19" s="99"/>
      <c r="E19" s="99"/>
      <c r="F19" s="99"/>
      <c r="G19" s="84"/>
      <c r="H19" s="89"/>
      <c r="I19" s="314"/>
      <c r="J19" s="314"/>
      <c r="K19" s="274"/>
      <c r="L19" s="89"/>
      <c r="M19" s="49"/>
      <c r="N19" s="56" t="e">
        <f>IF(AND(#REF!="composite wood",(COUNTIF(#REF!,"Y")+COUNTIF(#REF!,"Y")+COUNTIF(#REF!,"Y")+COUNTIF(#REF!,"Y"))=0),"Yes","No")</f>
        <v>#REF!</v>
      </c>
      <c r="O19" s="56" t="e">
        <f>IF(AND(N19="Yes",#REF!="Y"),1,0)</f>
        <v>#REF!</v>
      </c>
      <c r="Q19" s="52" t="e">
        <f>IF(#REF!="Yes",1,COUNTIF(#REF!,"Y")+COUNTIF(#REF!,"Y")+COUNTIF(#REF!,"Y")+COUNTIF(#REF!,"Y")+COUNTIF(#REF!,"Y"))</f>
        <v>#REF!</v>
      </c>
      <c r="R19" s="52" t="e">
        <f>IF(#REF!="Yes",1,COUNTIF(#REF!,"Y")+COUNTIF(#REF!,"Y")+COUNTIF(#REF!,"Y")+COUNTIF(#REF!,"Y")+COUNTIF(#REF!,"Y"))</f>
        <v>#REF!</v>
      </c>
      <c r="S19" s="53" t="e">
        <f>IF(AND(Q19&gt;0,R19=Q19),IF(AND(#REF!=0,#REF!=0),#REF!,IF(#REF!="Yes",#REF!,#REF!)),0)</f>
        <v>#REF!</v>
      </c>
    </row>
    <row r="20" spans="1:26" s="50" customFormat="1" ht="12" customHeight="1" x14ac:dyDescent="0.25">
      <c r="A20" s="48"/>
      <c r="B20" s="83"/>
      <c r="C20" s="83"/>
      <c r="D20" s="99"/>
      <c r="E20" s="99"/>
      <c r="F20" s="99"/>
      <c r="G20" s="84"/>
      <c r="H20" s="89"/>
      <c r="I20" s="314"/>
      <c r="J20" s="314"/>
      <c r="K20" s="274"/>
      <c r="L20" s="89"/>
      <c r="M20" s="49"/>
      <c r="N20" s="56" t="e">
        <f>IF(AND(#REF!="composite wood",(COUNTIF(#REF!,"Y")+COUNTIF(#REF!,"Y")+COUNTIF(#REF!,"Y")+COUNTIF(#REF!,"Y"))=0),"Yes","No")</f>
        <v>#REF!</v>
      </c>
      <c r="O20" s="56" t="e">
        <f>IF(AND(N20="Yes",#REF!="Y"),1,0)</f>
        <v>#REF!</v>
      </c>
      <c r="Q20" s="52" t="e">
        <f>IF(#REF!="Yes",1,COUNTIF(#REF!,"Y")+COUNTIF(#REF!,"Y")+COUNTIF(#REF!,"Y")+COUNTIF(#REF!,"Y")+COUNTIF(#REF!,"Y"))</f>
        <v>#REF!</v>
      </c>
      <c r="R20" s="52" t="e">
        <f>IF(#REF!="Yes",1,COUNTIF(#REF!,"Y")+COUNTIF(#REF!,"Y")+COUNTIF(#REF!,"Y")+COUNTIF(#REF!,"Y")+COUNTIF(#REF!,"Y"))</f>
        <v>#REF!</v>
      </c>
      <c r="S20" s="53" t="e">
        <f>IF(AND(Q20&gt;0,R20=Q20),IF(AND(#REF!=0,#REF!=0),#REF!,IF(#REF!="Yes",#REF!,#REF!)),0)</f>
        <v>#REF!</v>
      </c>
    </row>
    <row r="21" spans="1:26" s="50" customFormat="1" ht="12" customHeight="1" x14ac:dyDescent="0.25">
      <c r="A21" s="48"/>
      <c r="B21" s="83"/>
      <c r="C21" s="83"/>
      <c r="D21" s="99"/>
      <c r="E21" s="99"/>
      <c r="F21" s="99"/>
      <c r="G21" s="84"/>
      <c r="H21" s="89"/>
      <c r="I21" s="314"/>
      <c r="J21" s="314"/>
      <c r="K21" s="274"/>
      <c r="L21" s="89"/>
      <c r="M21" s="49"/>
      <c r="N21" s="56" t="e">
        <f>IF(AND(#REF!="composite wood",(COUNTIF(#REF!,"Y")+COUNTIF(#REF!,"Y")+COUNTIF(#REF!,"Y")+COUNTIF(#REF!,"Y"))=0),"Yes","No")</f>
        <v>#REF!</v>
      </c>
      <c r="O21" s="56" t="e">
        <f>IF(AND(N21="Yes",#REF!="Y"),1,0)</f>
        <v>#REF!</v>
      </c>
      <c r="Q21" s="52" t="e">
        <f>IF(#REF!="Yes",1,COUNTIF(#REF!,"Y")+COUNTIF(#REF!,"Y")+COUNTIF(#REF!,"Y")+COUNTIF(#REF!,"Y")+COUNTIF(#REF!,"Y"))</f>
        <v>#REF!</v>
      </c>
      <c r="R21" s="52" t="e">
        <f>IF(#REF!="Yes",1,COUNTIF(#REF!,"Y")+COUNTIF(#REF!,"Y")+COUNTIF(#REF!,"Y")+COUNTIF(#REF!,"Y")+COUNTIF(#REF!,"Y"))</f>
        <v>#REF!</v>
      </c>
      <c r="S21" s="53" t="e">
        <f>IF(AND(Q21&gt;0,R21=Q21),IF(AND(#REF!=0,#REF!=0),#REF!,IF(#REF!="Yes",#REF!,#REF!)),0)</f>
        <v>#REF!</v>
      </c>
    </row>
    <row r="22" spans="1:26" s="3" customFormat="1" ht="21" customHeight="1" x14ac:dyDescent="0.25">
      <c r="A22" s="43" t="s">
        <v>371</v>
      </c>
      <c r="B22" s="90"/>
      <c r="C22" s="90"/>
      <c r="D22" s="91"/>
      <c r="E22" s="91"/>
      <c r="F22" s="91"/>
      <c r="G22" s="286"/>
      <c r="H22" s="311"/>
      <c r="I22" s="311"/>
      <c r="J22" s="311"/>
      <c r="K22" s="275"/>
      <c r="L22" s="93"/>
      <c r="M22" s="4"/>
      <c r="N22" s="287"/>
      <c r="O22" s="287"/>
      <c r="P22" s="287"/>
      <c r="Q22" s="287"/>
      <c r="R22" s="287"/>
      <c r="S22" s="287"/>
      <c r="T22" s="287"/>
      <c r="U22" s="287"/>
      <c r="V22" s="287"/>
      <c r="W22" s="287"/>
      <c r="X22" s="287"/>
      <c r="Y22" s="287"/>
      <c r="Z22" s="287"/>
    </row>
    <row r="23" spans="1:26" s="3" customFormat="1" ht="30.75" customHeight="1" x14ac:dyDescent="0.25">
      <c r="A23" s="43"/>
      <c r="B23" s="74"/>
      <c r="C23" s="74"/>
      <c r="D23" s="17"/>
      <c r="E23" s="17"/>
      <c r="F23" s="17"/>
      <c r="G23" s="17"/>
      <c r="H23" s="17"/>
      <c r="I23" s="17"/>
      <c r="J23" s="17"/>
      <c r="K23" s="77"/>
      <c r="L23" s="1"/>
      <c r="M23" s="4"/>
      <c r="N23" s="287"/>
      <c r="O23" s="287"/>
      <c r="P23" s="287"/>
      <c r="Q23" s="287"/>
      <c r="R23" s="287"/>
      <c r="S23" s="287"/>
      <c r="T23" s="287"/>
      <c r="U23" s="287"/>
      <c r="V23" s="287"/>
      <c r="W23" s="287"/>
      <c r="X23" s="287"/>
      <c r="Y23" s="287"/>
      <c r="Z23" s="287"/>
    </row>
    <row r="24" spans="1:26" s="3" customFormat="1" ht="27.75" customHeight="1" x14ac:dyDescent="0.25">
      <c r="A24" s="43"/>
      <c r="B24" s="365" t="s">
        <v>415</v>
      </c>
      <c r="C24" s="365"/>
      <c r="D24" s="365"/>
      <c r="E24" s="365"/>
      <c r="F24" s="96">
        <f>IF($E$5="Cost", SUM(E10:E21), "n/a")</f>
        <v>0</v>
      </c>
      <c r="G24" s="17"/>
      <c r="H24" s="17"/>
      <c r="I24" s="17"/>
      <c r="J24" s="17"/>
      <c r="K24" s="77"/>
      <c r="L24" s="1"/>
      <c r="M24" s="4"/>
      <c r="N24" s="287"/>
      <c r="O24" s="287"/>
      <c r="P24" s="287"/>
      <c r="Q24" s="287"/>
      <c r="R24" s="287"/>
      <c r="S24" s="287"/>
      <c r="T24" s="287"/>
      <c r="U24" s="287"/>
      <c r="V24" s="287"/>
      <c r="W24" s="287"/>
      <c r="X24" s="287"/>
      <c r="Y24" s="287"/>
      <c r="Z24" s="287"/>
    </row>
    <row r="25" spans="1:26" s="3" customFormat="1" ht="30" customHeight="1" x14ac:dyDescent="0.25">
      <c r="A25" s="43"/>
      <c r="B25" s="366" t="s">
        <v>416</v>
      </c>
      <c r="C25" s="366"/>
      <c r="D25" s="366"/>
      <c r="E25" s="366"/>
      <c r="F25" s="96" cm="1">
        <f t="array" ref="F25">IF($E$5="surface area","n/a",SUMPRODUCT(E10:E21,_xlfn.XLOOKUP(G10:G21,reportingTypeOptionsList,reportingTypeCompliantList,0)))</f>
        <v>0</v>
      </c>
      <c r="G25" s="17"/>
      <c r="H25" s="17"/>
      <c r="I25" s="17"/>
      <c r="J25" s="17"/>
      <c r="K25" s="77"/>
      <c r="L25" s="1"/>
      <c r="M25" s="4"/>
      <c r="N25" s="287"/>
      <c r="O25" s="287"/>
      <c r="P25" s="287"/>
      <c r="Q25" s="287"/>
      <c r="R25" s="287"/>
      <c r="S25" s="287"/>
      <c r="T25" s="287"/>
      <c r="U25" s="287"/>
      <c r="V25" s="287"/>
      <c r="W25" s="287"/>
      <c r="X25" s="287"/>
      <c r="Y25" s="287"/>
      <c r="Z25" s="287"/>
    </row>
    <row r="26" spans="1:26" s="3" customFormat="1" ht="45" customHeight="1" x14ac:dyDescent="0.25">
      <c r="A26" s="43"/>
      <c r="B26" s="366" t="s">
        <v>417</v>
      </c>
      <c r="C26" s="366"/>
      <c r="D26" s="366"/>
      <c r="E26" s="366"/>
      <c r="F26" s="141">
        <f>IF($E$5="Cost",IFERROR($F25/$F24,0),"n/a")</f>
        <v>0</v>
      </c>
      <c r="G26" s="117"/>
      <c r="H26" s="117"/>
      <c r="I26" s="117"/>
      <c r="J26" s="117"/>
      <c r="K26"/>
      <c r="L26"/>
      <c r="M26" s="4"/>
      <c r="N26" s="287"/>
      <c r="O26" s="287"/>
      <c r="P26" s="287"/>
      <c r="Q26" s="287"/>
      <c r="R26" s="287"/>
      <c r="S26" s="287"/>
      <c r="T26" s="287"/>
      <c r="U26" s="287"/>
      <c r="V26" s="287"/>
      <c r="W26" s="287"/>
      <c r="X26" s="287"/>
      <c r="Y26" s="287"/>
      <c r="Z26" s="287"/>
    </row>
    <row r="27" spans="1:26" s="3" customFormat="1" ht="21" customHeight="1" x14ac:dyDescent="0.25">
      <c r="A27" s="43"/>
      <c r="B27" s="82"/>
      <c r="C27" s="82"/>
      <c r="D27" s="82"/>
      <c r="E27" s="82"/>
      <c r="F27" s="17"/>
      <c r="G27" s="17"/>
      <c r="H27" s="17"/>
      <c r="I27" s="17"/>
      <c r="J27" s="17"/>
      <c r="K27"/>
      <c r="L27"/>
      <c r="M27" s="4"/>
      <c r="N27" s="287"/>
      <c r="O27" s="287"/>
      <c r="P27" s="287"/>
      <c r="Q27" s="287"/>
      <c r="R27" s="287"/>
      <c r="S27" s="287"/>
      <c r="T27" s="287"/>
      <c r="U27" s="287"/>
      <c r="V27" s="287"/>
      <c r="W27" s="287"/>
      <c r="X27" s="287"/>
      <c r="Y27" s="287"/>
      <c r="Z27" s="287"/>
    </row>
    <row r="28" spans="1:26" s="3" customFormat="1" ht="22.5" customHeight="1" x14ac:dyDescent="0.25">
      <c r="A28" s="43"/>
      <c r="B28" s="367" t="str">
        <f>"Total surface area of insulation" &amp; IF(Instructions!$H$10="IP Units", " (sq ft)", IF(Instructions!$H$10="SI Units"," (sq m)"))</f>
        <v>Total surface area of insulation (sq ft)</v>
      </c>
      <c r="C28" s="367"/>
      <c r="D28" s="367"/>
      <c r="E28" s="367"/>
      <c r="F28" s="96" t="str">
        <f>IF($E$5="Surface area", SUM(F10:F21), "n/a")</f>
        <v>n/a</v>
      </c>
      <c r="G28" s="17"/>
      <c r="H28" s="17"/>
      <c r="I28" s="17"/>
      <c r="J28" s="17"/>
      <c r="K28"/>
      <c r="L28"/>
      <c r="M28" s="4"/>
      <c r="N28" s="287"/>
      <c r="O28" s="287"/>
      <c r="P28" s="287"/>
      <c r="Q28" s="287"/>
      <c r="R28" s="287"/>
      <c r="S28" s="287"/>
      <c r="T28" s="287"/>
      <c r="U28" s="287"/>
      <c r="V28" s="287"/>
      <c r="W28" s="287"/>
      <c r="X28" s="287"/>
      <c r="Y28" s="287"/>
      <c r="Z28" s="287"/>
    </row>
    <row r="29" spans="1:26" s="3" customFormat="1" ht="30.6" customHeight="1" x14ac:dyDescent="0.25">
      <c r="A29" s="43"/>
      <c r="B29" s="366"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C29" s="366"/>
      <c r="D29" s="366"/>
      <c r="E29" s="366"/>
      <c r="F29" s="96" t="str" cm="1">
        <f t="array" ref="F29">IF($E$5="cost","n/a",SUMPRODUCT(F10:F21,_xlfn.XLOOKUP(G10:G21,reportingTypeOptionsList,reportingTypeCompliantList,0)))</f>
        <v>n/a</v>
      </c>
      <c r="G29" s="17"/>
      <c r="H29" s="17"/>
      <c r="I29" s="17"/>
      <c r="J29" s="17"/>
      <c r="K29"/>
      <c r="L29"/>
      <c r="M29" s="4"/>
      <c r="N29" s="287"/>
      <c r="O29" s="287"/>
      <c r="P29" s="287"/>
      <c r="Q29" s="287"/>
      <c r="R29" s="287"/>
      <c r="S29" s="287"/>
      <c r="T29" s="287"/>
      <c r="U29" s="287"/>
      <c r="V29" s="287"/>
      <c r="W29" s="287"/>
      <c r="X29" s="287"/>
      <c r="Y29" s="287"/>
      <c r="Z29" s="287"/>
    </row>
    <row r="30" spans="1:26" s="3" customFormat="1" ht="39" customHeight="1" x14ac:dyDescent="0.25">
      <c r="A30" s="43"/>
      <c r="B30" s="366" t="s">
        <v>418</v>
      </c>
      <c r="C30" s="366"/>
      <c r="D30" s="366"/>
      <c r="E30" s="366"/>
      <c r="F30" s="141" t="str">
        <f>IF($E$5="Surface area",IFERROR($F29/$F28,0),"n/a")</f>
        <v>n/a</v>
      </c>
      <c r="G30" s="117"/>
      <c r="H30" s="117"/>
      <c r="I30" s="117"/>
      <c r="J30" s="117"/>
      <c r="K30"/>
      <c r="L30"/>
      <c r="M30" s="4"/>
      <c r="N30" s="287"/>
      <c r="O30" s="287"/>
      <c r="P30" s="287"/>
      <c r="Q30" s="287"/>
      <c r="R30" s="287"/>
      <c r="S30" s="287"/>
      <c r="T30" s="287"/>
      <c r="U30" s="287"/>
      <c r="V30" s="287"/>
      <c r="W30" s="287"/>
      <c r="X30" s="287"/>
      <c r="Y30" s="287"/>
      <c r="Z30" s="287"/>
    </row>
    <row r="31" spans="1:26" s="3" customFormat="1" ht="21" customHeight="1" x14ac:dyDescent="0.25">
      <c r="A31" s="43"/>
      <c r="B31" s="17"/>
      <c r="C31" s="17"/>
      <c r="D31" s="17"/>
      <c r="E31" s="17"/>
      <c r="F31" s="17"/>
      <c r="G31" s="17"/>
      <c r="H31" s="17"/>
      <c r="I31" s="17"/>
      <c r="J31" s="17"/>
      <c r="K31"/>
      <c r="L31"/>
      <c r="M31" s="4"/>
      <c r="N31" s="287"/>
      <c r="O31" s="287"/>
      <c r="P31" s="287"/>
      <c r="Q31" s="287"/>
      <c r="R31" s="287"/>
      <c r="S31" s="287"/>
      <c r="T31" s="287"/>
      <c r="U31" s="287"/>
      <c r="V31" s="287"/>
      <c r="W31" s="287"/>
      <c r="X31" s="287"/>
      <c r="Y31" s="287"/>
      <c r="Z31" s="287"/>
    </row>
    <row r="32" spans="1:26" s="58" customFormat="1" ht="32.25" customHeight="1" x14ac:dyDescent="0.25">
      <c r="K32"/>
      <c r="L32"/>
      <c r="M32" s="79"/>
    </row>
    <row r="33" spans="2:26" s="58" customFormat="1" ht="37.5" customHeight="1" x14ac:dyDescent="0.25">
      <c r="D33" s="80"/>
      <c r="E33" s="80"/>
      <c r="K33"/>
      <c r="L33"/>
      <c r="M33" s="79"/>
    </row>
    <row r="34" spans="2:26" s="58" customFormat="1" ht="39" customHeight="1" x14ac:dyDescent="0.25">
      <c r="K34"/>
      <c r="L34"/>
      <c r="M34" s="79"/>
    </row>
    <row r="35" spans="2:26" s="17" customFormat="1" ht="21" customHeight="1" x14ac:dyDescent="0.25">
      <c r="K35"/>
      <c r="L35"/>
      <c r="M35" s="79"/>
    </row>
    <row r="36" spans="2:26" s="17" customFormat="1" ht="21" customHeight="1" x14ac:dyDescent="0.25">
      <c r="K36"/>
      <c r="L36"/>
      <c r="M36" s="79"/>
    </row>
    <row r="37" spans="2:26" s="17" customFormat="1" ht="21" customHeight="1" x14ac:dyDescent="0.25">
      <c r="K37"/>
      <c r="L37"/>
      <c r="M37" s="79"/>
    </row>
    <row r="38" spans="2:26" s="17" customFormat="1" ht="21" customHeight="1" x14ac:dyDescent="0.25">
      <c r="K38"/>
      <c r="L38"/>
      <c r="M38" s="79"/>
    </row>
    <row r="39" spans="2:26" s="58" customFormat="1" ht="21" customHeight="1" x14ac:dyDescent="0.25">
      <c r="K39"/>
      <c r="L39"/>
      <c r="M39" s="79"/>
    </row>
    <row r="40" spans="2:26" ht="21" customHeight="1" x14ac:dyDescent="0.25">
      <c r="B40" s="73"/>
      <c r="C40" s="73"/>
      <c r="D40" s="73"/>
      <c r="E40" s="73"/>
      <c r="F40" s="73"/>
      <c r="G40" s="73"/>
      <c r="H40" s="73"/>
      <c r="I40" s="73"/>
      <c r="J40" s="73"/>
      <c r="K40"/>
      <c r="L40"/>
      <c r="N40" s="73"/>
      <c r="O40" s="73"/>
      <c r="P40" s="73"/>
      <c r="Q40" s="73"/>
      <c r="R40" s="73"/>
      <c r="S40" s="73"/>
      <c r="T40" s="73"/>
      <c r="U40" s="73"/>
      <c r="V40" s="73"/>
      <c r="W40" s="73"/>
      <c r="X40" s="73"/>
      <c r="Y40" s="73"/>
      <c r="Z40" s="73"/>
    </row>
    <row r="41" spans="2:26" ht="21" customHeight="1" x14ac:dyDescent="0.25">
      <c r="B41" s="73"/>
      <c r="C41" s="73"/>
      <c r="D41" s="73"/>
      <c r="E41" s="73"/>
      <c r="F41" s="73"/>
      <c r="G41" s="73"/>
      <c r="H41" s="73"/>
      <c r="I41" s="73"/>
      <c r="J41" s="73"/>
      <c r="K41"/>
      <c r="L41"/>
      <c r="N41" s="73"/>
      <c r="O41" s="73"/>
      <c r="P41" s="73"/>
      <c r="Q41" s="73"/>
      <c r="R41" s="73"/>
      <c r="S41" s="73"/>
      <c r="T41" s="73"/>
      <c r="U41" s="73"/>
      <c r="V41" s="73"/>
      <c r="W41" s="73"/>
      <c r="X41" s="73"/>
      <c r="Y41" s="73"/>
      <c r="Z41" s="73"/>
    </row>
    <row r="42" spans="2:26" x14ac:dyDescent="0.25">
      <c r="B42" s="73"/>
      <c r="C42" s="73"/>
      <c r="D42" s="73"/>
      <c r="E42" s="73"/>
      <c r="F42" s="73"/>
      <c r="G42" s="73"/>
      <c r="H42" s="73"/>
      <c r="I42" s="73"/>
      <c r="J42" s="73"/>
      <c r="K42"/>
      <c r="L42"/>
      <c r="N42" s="73"/>
      <c r="O42" s="73"/>
      <c r="P42" s="73"/>
      <c r="Q42" s="73"/>
      <c r="R42" s="73"/>
      <c r="S42" s="73"/>
      <c r="T42" s="73"/>
      <c r="U42" s="73"/>
      <c r="V42" s="73"/>
      <c r="W42" s="73"/>
      <c r="X42" s="73"/>
      <c r="Y42" s="73"/>
      <c r="Z42" s="73"/>
    </row>
  </sheetData>
  <sheetProtection algorithmName="SHA-512" hashValue="sUKdMsnSXMz2rS/q0Zhb0Cc9sQyxgV1ceu/KUqflv35Fh8AueKB2vT9X5q28Qc0rNl01FuTiS/B5h2cWBiSdyg==" saltValue="sh2oLC+tlFHk2InGAn43VQ==" spinCount="100000" sheet="1" formatColumns="0" formatRows="0"/>
  <mergeCells count="21">
    <mergeCell ref="B30:E30"/>
    <mergeCell ref="B29:E29"/>
    <mergeCell ref="H8:H9"/>
    <mergeCell ref="I8:I9"/>
    <mergeCell ref="J8:J9"/>
    <mergeCell ref="S8:S9"/>
    <mergeCell ref="B24:E24"/>
    <mergeCell ref="B25:E25"/>
    <mergeCell ref="B26:E26"/>
    <mergeCell ref="B28:E28"/>
    <mergeCell ref="L8:L9"/>
    <mergeCell ref="N8:N9"/>
    <mergeCell ref="O8:O9"/>
    <mergeCell ref="Q8:Q9"/>
    <mergeCell ref="R8:R9"/>
    <mergeCell ref="B8:B9"/>
    <mergeCell ref="G8:G9"/>
    <mergeCell ref="C8:C9"/>
    <mergeCell ref="D8:D9"/>
    <mergeCell ref="E8:E9"/>
    <mergeCell ref="F8:F9"/>
  </mergeCells>
  <conditionalFormatting sqref="E10:E21">
    <cfRule type="expression" dxfId="6" priority="4">
      <formula>$E$5="Surface area"</formula>
    </cfRule>
  </conditionalFormatting>
  <conditionalFormatting sqref="F10:F21">
    <cfRule type="expression" dxfId="5" priority="3">
      <formula>$E$5="Cost"</formula>
    </cfRule>
  </conditionalFormatting>
  <conditionalFormatting sqref="H10:J21">
    <cfRule type="expression" dxfId="4" priority="1">
      <formula>_xlfn.XLOOKUP($G10,reportingTypeOptionsList,reportingTypeAdditionalInfoList)=0</formula>
    </cfRule>
  </conditionalFormatting>
  <dataValidations count="7">
    <dataValidation type="custom" allowBlank="1" showInputMessage="1" showErrorMessage="1" sqref="F10:F21" xr:uid="{00000000-0002-0000-0600-000000000000}">
      <formula1>AND($E$5="Surface area", ISNUMBER(F10))</formula1>
    </dataValidation>
    <dataValidation type="custom" allowBlank="1" showInputMessage="1" showErrorMessage="1" sqref="E10:E21" xr:uid="{00000000-0002-0000-0600-000001000000}">
      <formula1>AND($E$5="Cost", ISNUMBER(E10))</formula1>
    </dataValidation>
    <dataValidation type="list" allowBlank="1" showInputMessage="1" showErrorMessage="1" sqref="E5" xr:uid="{00000000-0002-0000-0600-000002000000}">
      <formula1>"Cost, Surface area"</formula1>
    </dataValidation>
    <dataValidation type="list" allowBlank="1" showInputMessage="1" showErrorMessage="1" sqref="G10:G21" xr:uid="{9E3AA81F-7A2A-424F-9D96-6AFE61451B4E}">
      <formula1>reportingTypeOptionsList</formula1>
    </dataValidation>
    <dataValidation type="list" allowBlank="1" showInputMessage="1" showErrorMessage="1" sqref="H10:H21" xr:uid="{1504C9C1-2E13-46D3-9FF4-5EC33A3E3460}">
      <formula1>INDIRECT(_xlfn.XLOOKUP(G10,reportingTypeOptionsList,reportingTypeListsList))</formula1>
    </dataValidation>
    <dataValidation type="date" errorStyle="information" allowBlank="1" showInputMessage="1" showErrorMessage="1" error="Invalid date - check format and ensure it is after Certification Period Start Date" sqref="J10:J21" xr:uid="{3C9E07CB-A7B6-46CC-8CDF-7F20CB46FA3A}">
      <formula1>I10</formula1>
      <formula2>73051</formula2>
    </dataValidation>
    <dataValidation type="date" errorStyle="information" allowBlank="1" showInputMessage="1" showErrorMessage="1" error="Invalid date - check format and ensure it is before Certification Period End Date" sqref="I10:I21" xr:uid="{1196A494-8471-4C9C-AC0A-087EDBB92488}">
      <formula1>1</formula1>
      <formula2>J10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A">
                <anchor moveWithCells="1">
                  <from>
                    <xdr:col>1</xdr:col>
                    <xdr:colOff>9525</xdr:colOff>
                    <xdr:row>31</xdr:row>
                    <xdr:rowOff>180975</xdr:rowOff>
                  </from>
                  <to>
                    <xdr:col>1</xdr:col>
                    <xdr:colOff>1400175</xdr:colOff>
                    <xdr:row>32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DeleteRow">
                <anchor moveWithCells="1">
                  <from>
                    <xdr:col>3</xdr:col>
                    <xdr:colOff>838200</xdr:colOff>
                    <xdr:row>31</xdr:row>
                    <xdr:rowOff>180975</xdr:rowOff>
                  </from>
                  <to>
                    <xdr:col>4</xdr:col>
                    <xdr:colOff>1219200</xdr:colOff>
                    <xdr:row>32</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X37"/>
  <sheetViews>
    <sheetView showGridLines="0" zoomScale="80" zoomScaleNormal="80" zoomScalePageLayoutView="80" workbookViewId="0">
      <pane ySplit="8" topLeftCell="A9" activePane="bottomLeft" state="frozen"/>
      <selection pane="bottomLeft" activeCell="H13" sqref="H13"/>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5" width="20.7109375" style="2" customWidth="1"/>
    <col min="6" max="6" width="29.7109375" style="2" customWidth="1"/>
    <col min="7" max="7" width="31.7109375" style="2" customWidth="1"/>
    <col min="8" max="8" width="21.7109375" style="2" customWidth="1"/>
    <col min="9" max="9" width="2.42578125" style="2" customWidth="1"/>
    <col min="10" max="10" width="45.85546875" style="2" customWidth="1"/>
    <col min="11" max="11" width="4" style="4" customWidth="1"/>
    <col min="12" max="13" width="13.28515625" style="2" hidden="1" customWidth="1"/>
    <col min="14" max="14" width="5.7109375" style="2" hidden="1" customWidth="1"/>
    <col min="15" max="16" width="12.42578125" style="2" hidden="1" customWidth="1"/>
    <col min="17" max="17" width="13" style="2" hidden="1" customWidth="1"/>
    <col min="18" max="16384" width="8.85546875" style="2"/>
  </cols>
  <sheetData>
    <row r="1" spans="1:17" ht="15" customHeight="1" x14ac:dyDescent="0.2">
      <c r="A1" s="285"/>
      <c r="B1" s="285"/>
      <c r="C1" s="285"/>
      <c r="D1" s="285"/>
      <c r="E1" s="285"/>
      <c r="F1" s="285"/>
      <c r="G1" s="285"/>
      <c r="H1" s="285"/>
      <c r="I1" s="285"/>
      <c r="J1" s="285"/>
      <c r="K1" s="73"/>
      <c r="L1" s="73"/>
      <c r="M1" s="73"/>
      <c r="N1" s="73"/>
      <c r="O1" s="73"/>
      <c r="P1" s="73"/>
      <c r="Q1" s="73"/>
    </row>
    <row r="2" spans="1:17" ht="20.25" customHeight="1" x14ac:dyDescent="0.2">
      <c r="A2" s="5"/>
      <c r="B2" s="6" t="s">
        <v>419</v>
      </c>
      <c r="C2" s="6"/>
      <c r="D2" s="7"/>
      <c r="E2" s="8"/>
      <c r="F2" s="7"/>
      <c r="G2" s="7"/>
      <c r="H2" s="7"/>
      <c r="I2" s="7"/>
      <c r="J2" s="7"/>
      <c r="K2" s="73"/>
      <c r="L2" s="73"/>
      <c r="M2" s="73"/>
      <c r="N2" s="73"/>
      <c r="O2" s="73"/>
      <c r="P2" s="73"/>
      <c r="Q2" s="73"/>
    </row>
    <row r="3" spans="1:17" ht="15.75" customHeight="1" x14ac:dyDescent="0.2">
      <c r="A3" s="285"/>
      <c r="B3" s="285"/>
      <c r="C3" s="285"/>
      <c r="D3" s="285"/>
      <c r="E3" s="285"/>
      <c r="F3" s="285"/>
      <c r="G3" s="285"/>
      <c r="H3" s="285"/>
      <c r="I3" s="285"/>
      <c r="J3" s="285"/>
      <c r="K3" s="73"/>
      <c r="L3" s="73"/>
      <c r="M3" s="73"/>
      <c r="N3" s="73"/>
      <c r="O3" s="73"/>
      <c r="P3" s="73"/>
      <c r="Q3" s="73"/>
    </row>
    <row r="4" spans="1:17" ht="22.5" customHeight="1" x14ac:dyDescent="0.25">
      <c r="A4" s="73"/>
      <c r="B4" s="73"/>
      <c r="C4" s="73"/>
      <c r="D4" s="73"/>
      <c r="E4" s="73"/>
      <c r="F4" s="73"/>
      <c r="G4" s="73"/>
      <c r="H4" s="73"/>
      <c r="I4" s="73"/>
      <c r="J4" s="73"/>
      <c r="L4" s="73"/>
      <c r="M4" s="73"/>
      <c r="N4" s="73"/>
      <c r="O4" s="73"/>
      <c r="P4" s="73"/>
      <c r="Q4" s="73"/>
    </row>
    <row r="5" spans="1:17" ht="15.75" customHeight="1" x14ac:dyDescent="0.25">
      <c r="A5" s="73"/>
      <c r="B5" s="73"/>
      <c r="C5" s="73"/>
      <c r="D5" s="73"/>
      <c r="E5" s="73"/>
      <c r="F5" s="73"/>
      <c r="G5" s="73"/>
      <c r="H5" s="73"/>
      <c r="I5" s="73"/>
      <c r="J5" s="73"/>
      <c r="L5" s="73"/>
      <c r="M5" s="73"/>
      <c r="N5" s="73"/>
      <c r="O5" s="73"/>
      <c r="P5" s="73"/>
      <c r="Q5" s="73"/>
    </row>
    <row r="6" spans="1:17" ht="15.6" customHeight="1" x14ac:dyDescent="0.25">
      <c r="A6" s="73"/>
      <c r="B6" s="73"/>
      <c r="C6" s="73"/>
      <c r="D6" s="73"/>
      <c r="E6" s="73"/>
      <c r="F6" s="73"/>
      <c r="G6" s="73"/>
      <c r="H6" s="73"/>
      <c r="I6" s="73"/>
      <c r="J6" s="73"/>
      <c r="L6" s="73"/>
      <c r="M6" s="73"/>
      <c r="N6" s="73"/>
      <c r="O6" s="73"/>
      <c r="P6" s="73"/>
      <c r="Q6" s="73"/>
    </row>
    <row r="7" spans="1:17" ht="30" customHeight="1" x14ac:dyDescent="0.25">
      <c r="A7" s="73"/>
      <c r="B7" s="351" t="s">
        <v>341</v>
      </c>
      <c r="C7" s="351" t="s">
        <v>342</v>
      </c>
      <c r="D7" s="351" t="s">
        <v>343</v>
      </c>
      <c r="E7" s="351" t="s">
        <v>420</v>
      </c>
      <c r="F7" s="348" t="s">
        <v>421</v>
      </c>
      <c r="G7" s="371" t="s">
        <v>422</v>
      </c>
      <c r="H7" s="370" t="s">
        <v>423</v>
      </c>
      <c r="I7" s="124"/>
      <c r="J7" s="351" t="s">
        <v>393</v>
      </c>
      <c r="L7" s="345" t="s">
        <v>356</v>
      </c>
      <c r="M7" s="345" t="s">
        <v>357</v>
      </c>
      <c r="N7" s="73"/>
      <c r="O7" s="347" t="s">
        <v>358</v>
      </c>
      <c r="P7" s="347" t="s">
        <v>359</v>
      </c>
      <c r="Q7" s="344" t="s">
        <v>360</v>
      </c>
    </row>
    <row r="8" spans="1:17" ht="51" customHeight="1" x14ac:dyDescent="0.25">
      <c r="A8" s="73"/>
      <c r="B8" s="351"/>
      <c r="C8" s="351"/>
      <c r="D8" s="351"/>
      <c r="E8" s="351"/>
      <c r="F8" s="348"/>
      <c r="G8" s="372"/>
      <c r="H8" s="370"/>
      <c r="I8" s="125"/>
      <c r="J8" s="351"/>
      <c r="L8" s="346"/>
      <c r="M8" s="346"/>
      <c r="N8" s="73"/>
      <c r="O8" s="347"/>
      <c r="P8" s="347"/>
      <c r="Q8" s="344"/>
    </row>
    <row r="9" spans="1:17" s="50" customFormat="1" ht="12" customHeight="1" x14ac:dyDescent="0.25">
      <c r="A9" s="48">
        <f t="shared" ref="A9:A13" si="0">IF(D9&gt;=0,0,0)</f>
        <v>0</v>
      </c>
      <c r="B9" s="83"/>
      <c r="C9" s="83"/>
      <c r="D9" s="99"/>
      <c r="E9" s="99"/>
      <c r="F9" s="84"/>
      <c r="G9" s="84"/>
      <c r="H9" s="112">
        <f t="shared" ref="H9:H20" si="1">IF(AND($F9="furniture emissions evaluation",$G9="ANSI/BIFMA e3-2014e section 7.6.1"), $E9*0.5,IF(AND($F9="furniture emissions evaluation",$G9="ANSI/BIFMA e3-2014e section 7.6.2"),$E9*1,IF(AND($F9="furniture emissions evaluation",$G9="ANSI/BIFMA e3-2014e section 7.6.2 AND 7.6.3"),$E9*1.25,IF($F9="salvaged and reused materials",$E9*1,IF($F9="inherently nonemitting sources",$E9*1,0)))))</f>
        <v>0</v>
      </c>
      <c r="I9" s="125"/>
      <c r="J9" s="89"/>
      <c r="K9" s="49"/>
      <c r="L9" s="51" t="e">
        <f>IF(AND(#REF!="composite wood",(COUNTIF(#REF!,"Y")+COUNTIF(#REF!,"Y")+COUNTIF(#REF!,"Y")+COUNTIF(#REF!,"Y"))=0),"Yes","No")</f>
        <v>#REF!</v>
      </c>
      <c r="M9" s="51" t="e">
        <f>IF(AND(L9="Yes",#REF!="Y"),1,0)</f>
        <v>#REF!</v>
      </c>
      <c r="O9" s="52" t="e">
        <f>IF(#REF!="Inherently nonemitting",1,COUNTIF(#REF!,"Y")+COUNTIF(#REF!,"Y")+COUNTIF(#REF!,"Y")+COUNTIF(#REF!,"Y")+COUNTIF(#REF!,"Y"))</f>
        <v>#REF!</v>
      </c>
      <c r="P9" s="52" t="e">
        <f>IF(#REF!="Yes",1,COUNTIF(#REF!,"Y")+COUNTIF(#REF!,"Y")+COUNTIF(#REF!,"Y")+COUNTIF(#REF!,"Y")+COUNTIF(#REF!,"Y"))</f>
        <v>#REF!</v>
      </c>
      <c r="Q9" s="53" t="e">
        <f>IF(AND(O9&gt;0,P9=O9),IF(AND(#REF!=0,#REF!=0),#REF!,IF(#REF!="Yes",#REF!,#REF!)),0)</f>
        <v>#REF!</v>
      </c>
    </row>
    <row r="10" spans="1:17" s="50" customFormat="1" ht="12" customHeight="1" x14ac:dyDescent="0.25">
      <c r="A10" s="48">
        <f t="shared" si="0"/>
        <v>0</v>
      </c>
      <c r="B10" s="83"/>
      <c r="C10" s="83"/>
      <c r="D10" s="99"/>
      <c r="E10" s="99"/>
      <c r="F10" s="84"/>
      <c r="G10" s="84"/>
      <c r="H10" s="112">
        <f t="shared" si="1"/>
        <v>0</v>
      </c>
      <c r="I10" s="125"/>
      <c r="J10" s="89"/>
      <c r="K10" s="49"/>
      <c r="L10" s="56" t="e">
        <f>IF(AND(#REF!="composite wood",(COUNTIF(#REF!,"Y")+COUNTIF(#REF!,"Y")+COUNTIF(#REF!,"Y")+COUNTIF(#REF!,"Y"))=0),"Yes","No")</f>
        <v>#REF!</v>
      </c>
      <c r="M10" s="56" t="e">
        <f>IF(AND(L10="Yes",#REF!="Y"),1,0)</f>
        <v>#REF!</v>
      </c>
      <c r="O10" s="52" t="e">
        <f>IF(#REF!="Yes",1,COUNTIF(#REF!,"Y")+COUNTIF(#REF!,"Y")+COUNTIF(#REF!,"Y")+COUNTIF(#REF!,"Y")+COUNTIF(#REF!,"Y"))</f>
        <v>#REF!</v>
      </c>
      <c r="P10" s="52" t="e">
        <f>IF(#REF!="Yes",1,COUNTIF(#REF!,"Y")+COUNTIF(#REF!,"Y")+COUNTIF(#REF!,"Y")+COUNTIF(#REF!,"Y")+COUNTIF(#REF!,"Y"))</f>
        <v>#REF!</v>
      </c>
      <c r="Q10" s="53" t="e">
        <f>IF(AND(O10&gt;0,P10=O10),IF(AND(#REF!=0,#REF!=0),#REF!,IF(#REF!="Yes",#REF!,#REF!)),0)</f>
        <v>#REF!</v>
      </c>
    </row>
    <row r="11" spans="1:17" s="50" customFormat="1" ht="12" customHeight="1" x14ac:dyDescent="0.25">
      <c r="A11" s="48">
        <f t="shared" si="0"/>
        <v>0</v>
      </c>
      <c r="B11" s="83"/>
      <c r="C11" s="83"/>
      <c r="D11" s="99"/>
      <c r="E11" s="99"/>
      <c r="F11" s="84"/>
      <c r="G11" s="84"/>
      <c r="H11" s="112">
        <f t="shared" si="1"/>
        <v>0</v>
      </c>
      <c r="I11" s="125"/>
      <c r="J11" s="89"/>
      <c r="K11" s="49"/>
      <c r="L11" s="56" t="e">
        <f>IF(AND(#REF!="composite wood",(COUNTIF(#REF!,"Y")+COUNTIF(#REF!,"Y")+COUNTIF(#REF!,"Y")+COUNTIF(#REF!,"Y"))=0),"Yes","No")</f>
        <v>#REF!</v>
      </c>
      <c r="M11" s="56" t="e">
        <f>IF(AND(L11="Yes",#REF!="Y"),1,0)</f>
        <v>#REF!</v>
      </c>
      <c r="O11" s="52" t="e">
        <f>IF(#REF!="Yes",1,COUNTIF(#REF!,"Y")+COUNTIF(#REF!,"Y")+COUNTIF(#REF!,"Y")+COUNTIF(#REF!,"Y")+COUNTIF(#REF!,"Y"))</f>
        <v>#REF!</v>
      </c>
      <c r="P11" s="52" t="e">
        <f>IF(#REF!="Yes",1,COUNTIF(#REF!,"Y")+COUNTIF(#REF!,"Y")+COUNTIF(#REF!,"Y")+COUNTIF(#REF!,"Y")+COUNTIF(#REF!,"Y"))</f>
        <v>#REF!</v>
      </c>
      <c r="Q11" s="53" t="e">
        <f>IF(AND(O11&gt;0,P11=O11),IF(AND(#REF!=0,#REF!=0),#REF!,IF(#REF!="Yes",#REF!,#REF!)),0)</f>
        <v>#REF!</v>
      </c>
    </row>
    <row r="12" spans="1:17" s="50" customFormat="1" ht="12" customHeight="1" x14ac:dyDescent="0.25">
      <c r="A12" s="48">
        <f t="shared" si="0"/>
        <v>0</v>
      </c>
      <c r="B12" s="83"/>
      <c r="C12" s="83"/>
      <c r="D12" s="99"/>
      <c r="E12" s="99"/>
      <c r="F12" s="84"/>
      <c r="G12" s="84"/>
      <c r="H12" s="112">
        <f t="shared" si="1"/>
        <v>0</v>
      </c>
      <c r="I12" s="125"/>
      <c r="J12" s="89"/>
      <c r="K12" s="49"/>
      <c r="L12" s="56" t="e">
        <f>IF(AND(#REF!="composite wood",(COUNTIF(#REF!,"Y")+COUNTIF(#REF!,"Y")+COUNTIF(#REF!,"Y")+COUNTIF(#REF!,"Y"))=0),"Yes","No")</f>
        <v>#REF!</v>
      </c>
      <c r="M12" s="56" t="e">
        <f>IF(AND(L12="Yes",#REF!="Y"),1,0)</f>
        <v>#REF!</v>
      </c>
      <c r="O12" s="52" t="e">
        <f>IF(#REF!="Yes",1,COUNTIF(#REF!,"Y")+COUNTIF(#REF!,"Y")+COUNTIF(#REF!,"Y")+COUNTIF(#REF!,"Y")+COUNTIF(#REF!,"Y"))</f>
        <v>#REF!</v>
      </c>
      <c r="P12" s="52" t="e">
        <f>IF(#REF!="Yes",1,COUNTIF(#REF!,"Y")+COUNTIF(#REF!,"Y")+COUNTIF(#REF!,"Y")+COUNTIF(#REF!,"Y")+COUNTIF(#REF!,"Y"))</f>
        <v>#REF!</v>
      </c>
      <c r="Q12" s="53" t="e">
        <f>IF(AND(O12&gt;0,P12=O12),IF(AND(#REF!=0,#REF!=0),#REF!,IF(#REF!="Yes",#REF!,#REF!)),0)</f>
        <v>#REF!</v>
      </c>
    </row>
    <row r="13" spans="1:17" s="50" customFormat="1" ht="12" customHeight="1" x14ac:dyDescent="0.25">
      <c r="A13" s="48">
        <f t="shared" si="0"/>
        <v>0</v>
      </c>
      <c r="B13" s="83"/>
      <c r="C13" s="83"/>
      <c r="D13" s="99"/>
      <c r="E13" s="99"/>
      <c r="F13" s="84"/>
      <c r="G13" s="84"/>
      <c r="H13" s="112">
        <f t="shared" si="1"/>
        <v>0</v>
      </c>
      <c r="I13" s="125"/>
      <c r="J13" s="89"/>
      <c r="K13" s="49"/>
      <c r="L13" s="56" t="e">
        <f>IF(AND(#REF!="composite wood",(COUNTIF(#REF!,"Y")+COUNTIF(#REF!,"Y")+COUNTIF(#REF!,"Y")+COUNTIF(#REF!,"Y"))=0),"Yes","No")</f>
        <v>#REF!</v>
      </c>
      <c r="M13" s="56" t="e">
        <f>IF(AND(L13="Yes",#REF!="Y"),1,0)</f>
        <v>#REF!</v>
      </c>
      <c r="O13" s="52" t="e">
        <f>IF(#REF!="Yes",1,COUNTIF(#REF!,"Y")+COUNTIF(#REF!,"Y")+COUNTIF(#REF!,"Y")+COUNTIF(#REF!,"Y")+COUNTIF(#REF!,"Y"))</f>
        <v>#REF!</v>
      </c>
      <c r="P13" s="52" t="e">
        <f>IF(#REF!="Yes",1,COUNTIF(#REF!,"Y")+COUNTIF(#REF!,"Y")+COUNTIF(#REF!,"Y")+COUNTIF(#REF!,"Y")+COUNTIF(#REF!,"Y"))</f>
        <v>#REF!</v>
      </c>
      <c r="Q13" s="53" t="e">
        <f>IF(AND(O13&gt;0,P13=O13),IF(AND(#REF!=0,#REF!=0),#REF!,IF(#REF!="Yes",#REF!,#REF!)),0)</f>
        <v>#REF!</v>
      </c>
    </row>
    <row r="14" spans="1:17" s="50" customFormat="1" ht="12" customHeight="1" x14ac:dyDescent="0.25">
      <c r="A14" s="48">
        <f t="shared" ref="A14:A18" si="2">IF(D14&gt;=0,0,0)</f>
        <v>0</v>
      </c>
      <c r="B14" s="83"/>
      <c r="C14" s="83"/>
      <c r="D14" s="99"/>
      <c r="E14" s="99"/>
      <c r="F14" s="84"/>
      <c r="G14" s="84"/>
      <c r="H14" s="112">
        <f t="shared" si="1"/>
        <v>0</v>
      </c>
      <c r="I14" s="125"/>
      <c r="J14" s="89"/>
      <c r="K14" s="49"/>
      <c r="L14" s="56" t="e">
        <f>IF(AND(#REF!="composite wood",(COUNTIF(#REF!,"Y")+COUNTIF(#REF!,"Y")+COUNTIF(#REF!,"Y")+COUNTIF(#REF!,"Y"))=0),"Yes","No")</f>
        <v>#REF!</v>
      </c>
      <c r="M14" s="56" t="e">
        <f>IF(AND(L14="Yes",#REF!="Y"),1,0)</f>
        <v>#REF!</v>
      </c>
      <c r="O14" s="52" t="e">
        <f>IF(#REF!="Yes",1,COUNTIF(#REF!,"Y")+COUNTIF(#REF!,"Y")+COUNTIF(#REF!,"Y")+COUNTIF(#REF!,"Y")+COUNTIF(#REF!,"Y"))</f>
        <v>#REF!</v>
      </c>
      <c r="P14" s="52" t="e">
        <f>IF(#REF!="Yes",1,COUNTIF(#REF!,"Y")+COUNTIF(#REF!,"Y")+COUNTIF(#REF!,"Y")+COUNTIF(#REF!,"Y")+COUNTIF(#REF!,"Y"))</f>
        <v>#REF!</v>
      </c>
      <c r="Q14" s="53" t="e">
        <f>IF(AND(O14&gt;0,P14=O14),IF(AND(#REF!=0,#REF!=0),#REF!,IF(#REF!="Yes",#REF!,#REF!)),0)</f>
        <v>#REF!</v>
      </c>
    </row>
    <row r="15" spans="1:17" s="50" customFormat="1" ht="12" customHeight="1" x14ac:dyDescent="0.25">
      <c r="A15" s="48">
        <f t="shared" si="2"/>
        <v>0</v>
      </c>
      <c r="B15" s="83"/>
      <c r="C15" s="83"/>
      <c r="D15" s="99"/>
      <c r="E15" s="99"/>
      <c r="F15" s="84"/>
      <c r="G15" s="84"/>
      <c r="H15" s="112">
        <f t="shared" si="1"/>
        <v>0</v>
      </c>
      <c r="I15" s="125"/>
      <c r="J15" s="89"/>
      <c r="K15" s="49"/>
      <c r="L15" s="56" t="e">
        <f>IF(AND(#REF!="composite wood",(COUNTIF(#REF!,"Y")+COUNTIF(#REF!,"Y")+COUNTIF(#REF!,"Y")+COUNTIF(#REF!,"Y"))=0),"Yes","No")</f>
        <v>#REF!</v>
      </c>
      <c r="M15" s="56" t="e">
        <f>IF(AND(L15="Yes",#REF!="Y"),1,0)</f>
        <v>#REF!</v>
      </c>
      <c r="O15" s="52" t="e">
        <f>IF(#REF!="Yes",1,COUNTIF(#REF!,"Y")+COUNTIF(#REF!,"Y")+COUNTIF(#REF!,"Y")+COUNTIF(#REF!,"Y")+COUNTIF(#REF!,"Y"))</f>
        <v>#REF!</v>
      </c>
      <c r="P15" s="52" t="e">
        <f>IF(#REF!="Yes",1,COUNTIF(#REF!,"Y")+COUNTIF(#REF!,"Y")+COUNTIF(#REF!,"Y")+COUNTIF(#REF!,"Y")+COUNTIF(#REF!,"Y"))</f>
        <v>#REF!</v>
      </c>
      <c r="Q15" s="53" t="e">
        <f>IF(AND(O15&gt;0,P15=O15),IF(AND(#REF!=0,#REF!=0),#REF!,IF(#REF!="Yes",#REF!,#REF!)),0)</f>
        <v>#REF!</v>
      </c>
    </row>
    <row r="16" spans="1:17" s="50" customFormat="1" ht="12" customHeight="1" x14ac:dyDescent="0.25">
      <c r="A16" s="48">
        <f t="shared" si="2"/>
        <v>0</v>
      </c>
      <c r="B16" s="83"/>
      <c r="C16" s="83"/>
      <c r="D16" s="99"/>
      <c r="E16" s="99"/>
      <c r="F16" s="84"/>
      <c r="G16" s="84"/>
      <c r="H16" s="112">
        <f t="shared" si="1"/>
        <v>0</v>
      </c>
      <c r="I16" s="125"/>
      <c r="J16" s="89"/>
      <c r="K16" s="49"/>
      <c r="L16" s="56" t="e">
        <f>IF(AND(#REF!="composite wood",(COUNTIF(#REF!,"Y")+COUNTIF(#REF!,"Y")+COUNTIF(#REF!,"Y")+COUNTIF(#REF!,"Y"))=0),"Yes","No")</f>
        <v>#REF!</v>
      </c>
      <c r="M16" s="56" t="e">
        <f>IF(AND(L16="Yes",#REF!="Y"),1,0)</f>
        <v>#REF!</v>
      </c>
      <c r="O16" s="52" t="e">
        <f>IF(#REF!="Yes",1,COUNTIF(#REF!,"Y")+COUNTIF(#REF!,"Y")+COUNTIF(#REF!,"Y")+COUNTIF(#REF!,"Y")+COUNTIF(#REF!,"Y"))</f>
        <v>#REF!</v>
      </c>
      <c r="P16" s="52" t="e">
        <f>IF(#REF!="Yes",1,COUNTIF(#REF!,"Y")+COUNTIF(#REF!,"Y")+COUNTIF(#REF!,"Y")+COUNTIF(#REF!,"Y")+COUNTIF(#REF!,"Y"))</f>
        <v>#REF!</v>
      </c>
      <c r="Q16" s="53" t="e">
        <f>IF(AND(O16&gt;0,P16=O16),IF(AND(#REF!=0,#REF!=0),#REF!,IF(#REF!="Yes",#REF!,#REF!)),0)</f>
        <v>#REF!</v>
      </c>
    </row>
    <row r="17" spans="1:24" s="50" customFormat="1" ht="12" customHeight="1" x14ac:dyDescent="0.25">
      <c r="A17" s="48">
        <f t="shared" si="2"/>
        <v>0</v>
      </c>
      <c r="B17" s="83"/>
      <c r="C17" s="83"/>
      <c r="D17" s="99"/>
      <c r="E17" s="99"/>
      <c r="F17" s="84"/>
      <c r="G17" s="84"/>
      <c r="H17" s="112">
        <f t="shared" si="1"/>
        <v>0</v>
      </c>
      <c r="I17" s="125"/>
      <c r="J17" s="89"/>
      <c r="K17" s="49"/>
      <c r="L17" s="56" t="e">
        <f>IF(AND(#REF!="composite wood",(COUNTIF(#REF!,"Y")+COUNTIF(#REF!,"Y")+COUNTIF(#REF!,"Y")+COUNTIF(#REF!,"Y"))=0),"Yes","No")</f>
        <v>#REF!</v>
      </c>
      <c r="M17" s="56" t="e">
        <f>IF(AND(L17="Yes",#REF!="Y"),1,0)</f>
        <v>#REF!</v>
      </c>
      <c r="O17" s="52" t="e">
        <f>IF(#REF!="Yes",1,COUNTIF(#REF!,"Y")+COUNTIF(#REF!,"Y")+COUNTIF(#REF!,"Y")+COUNTIF(#REF!,"Y")+COUNTIF(#REF!,"Y"))</f>
        <v>#REF!</v>
      </c>
      <c r="P17" s="52" t="e">
        <f>IF(#REF!="Yes",1,COUNTIF(#REF!,"Y")+COUNTIF(#REF!,"Y")+COUNTIF(#REF!,"Y")+COUNTIF(#REF!,"Y")+COUNTIF(#REF!,"Y"))</f>
        <v>#REF!</v>
      </c>
      <c r="Q17" s="53" t="e">
        <f>IF(AND(O17&gt;0,P17=O17),IF(AND(#REF!=0,#REF!=0),#REF!,IF(#REF!="Yes",#REF!,#REF!)),0)</f>
        <v>#REF!</v>
      </c>
    </row>
    <row r="18" spans="1:24" s="50" customFormat="1" ht="12" customHeight="1" x14ac:dyDescent="0.25">
      <c r="A18" s="48">
        <f t="shared" si="2"/>
        <v>0</v>
      </c>
      <c r="B18" s="83"/>
      <c r="C18" s="83"/>
      <c r="D18" s="99"/>
      <c r="E18" s="99"/>
      <c r="F18" s="84"/>
      <c r="G18" s="84"/>
      <c r="H18" s="112">
        <f t="shared" si="1"/>
        <v>0</v>
      </c>
      <c r="I18" s="125"/>
      <c r="J18" s="89"/>
      <c r="K18" s="49"/>
      <c r="L18" s="56" t="e">
        <f>IF(AND(#REF!="composite wood",(COUNTIF(#REF!,"Y")+COUNTIF(#REF!,"Y")+COUNTIF(#REF!,"Y")+COUNTIF(#REF!,"Y"))=0),"Yes","No")</f>
        <v>#REF!</v>
      </c>
      <c r="M18" s="56" t="e">
        <f>IF(AND(L18="Yes",#REF!="Y"),1,0)</f>
        <v>#REF!</v>
      </c>
      <c r="O18" s="52" t="e">
        <f>IF(#REF!="Yes",1,COUNTIF(#REF!,"Y")+COUNTIF(#REF!,"Y")+COUNTIF(#REF!,"Y")+COUNTIF(#REF!,"Y")+COUNTIF(#REF!,"Y"))</f>
        <v>#REF!</v>
      </c>
      <c r="P18" s="52" t="e">
        <f>IF(#REF!="Yes",1,COUNTIF(#REF!,"Y")+COUNTIF(#REF!,"Y")+COUNTIF(#REF!,"Y")+COUNTIF(#REF!,"Y")+COUNTIF(#REF!,"Y"))</f>
        <v>#REF!</v>
      </c>
      <c r="Q18" s="53" t="e">
        <f>IF(AND(O18&gt;0,P18=O18),IF(AND(#REF!=0,#REF!=0),#REF!,IF(#REF!="Yes",#REF!,#REF!)),0)</f>
        <v>#REF!</v>
      </c>
    </row>
    <row r="19" spans="1:24" s="50" customFormat="1" ht="12" customHeight="1" x14ac:dyDescent="0.25">
      <c r="A19" s="48"/>
      <c r="B19" s="83"/>
      <c r="C19" s="83"/>
      <c r="D19" s="99"/>
      <c r="E19" s="99"/>
      <c r="F19" s="84"/>
      <c r="G19" s="84"/>
      <c r="H19" s="112">
        <f t="shared" si="1"/>
        <v>0</v>
      </c>
      <c r="I19" s="125"/>
      <c r="J19" s="89"/>
      <c r="K19" s="49"/>
      <c r="L19" s="56" t="e">
        <f>IF(AND(#REF!="composite wood",(COUNTIF(#REF!,"Y")+COUNTIF(#REF!,"Y")+COUNTIF(#REF!,"Y")+COUNTIF(#REF!,"Y"))=0),"Yes","No")</f>
        <v>#REF!</v>
      </c>
      <c r="M19" s="56" t="e">
        <f>IF(AND(L19="Yes",#REF!="Y"),1,0)</f>
        <v>#REF!</v>
      </c>
      <c r="O19" s="52" t="e">
        <f>IF(#REF!="Yes",1,COUNTIF(#REF!,"Y")+COUNTIF(#REF!,"Y")+COUNTIF(#REF!,"Y")+COUNTIF(#REF!,"Y")+COUNTIF(#REF!,"Y"))</f>
        <v>#REF!</v>
      </c>
      <c r="P19" s="52" t="e">
        <f>IF(#REF!="Yes",1,COUNTIF(#REF!,"Y")+COUNTIF(#REF!,"Y")+COUNTIF(#REF!,"Y")+COUNTIF(#REF!,"Y")+COUNTIF(#REF!,"Y"))</f>
        <v>#REF!</v>
      </c>
      <c r="Q19" s="53" t="e">
        <f>IF(AND(O19&gt;0,P19=O19),IF(AND(#REF!=0,#REF!=0),#REF!,IF(#REF!="Yes",#REF!,#REF!)),0)</f>
        <v>#REF!</v>
      </c>
    </row>
    <row r="20" spans="1:24" s="50" customFormat="1" ht="12" customHeight="1" x14ac:dyDescent="0.25">
      <c r="A20" s="48"/>
      <c r="B20" s="83"/>
      <c r="C20" s="83"/>
      <c r="D20" s="99"/>
      <c r="E20" s="99"/>
      <c r="F20" s="84"/>
      <c r="G20" s="84"/>
      <c r="H20" s="112">
        <f t="shared" si="1"/>
        <v>0</v>
      </c>
      <c r="I20" s="125"/>
      <c r="J20" s="89"/>
      <c r="K20" s="49"/>
      <c r="L20" s="56" t="e">
        <f>IF(AND(#REF!="composite wood",(COUNTIF(#REF!,"Y")+COUNTIF(#REF!,"Y")+COUNTIF(#REF!,"Y")+COUNTIF(#REF!,"Y"))=0),"Yes","No")</f>
        <v>#REF!</v>
      </c>
      <c r="M20" s="56" t="e">
        <f>IF(AND(L20="Yes",#REF!="Y"),1,0)</f>
        <v>#REF!</v>
      </c>
      <c r="O20" s="52" t="e">
        <f>IF(#REF!="Yes",1,COUNTIF(#REF!,"Y")+COUNTIF(#REF!,"Y")+COUNTIF(#REF!,"Y")+COUNTIF(#REF!,"Y")+COUNTIF(#REF!,"Y"))</f>
        <v>#REF!</v>
      </c>
      <c r="P20" s="52" t="e">
        <f>IF(#REF!="Yes",1,COUNTIF(#REF!,"Y")+COUNTIF(#REF!,"Y")+COUNTIF(#REF!,"Y")+COUNTIF(#REF!,"Y")+COUNTIF(#REF!,"Y"))</f>
        <v>#REF!</v>
      </c>
      <c r="Q20" s="53" t="e">
        <f>IF(AND(O20&gt;0,P20=O20),IF(AND(#REF!=0,#REF!=0),#REF!,IF(#REF!="Yes",#REF!,#REF!)),0)</f>
        <v>#REF!</v>
      </c>
    </row>
    <row r="21" spans="1:24" s="3" customFormat="1" ht="21" customHeight="1" x14ac:dyDescent="0.25">
      <c r="A21" s="43" t="s">
        <v>371</v>
      </c>
      <c r="B21" s="90"/>
      <c r="C21" s="90"/>
      <c r="D21" s="91"/>
      <c r="E21" s="91"/>
      <c r="F21" s="286"/>
      <c r="G21" s="286"/>
      <c r="H21" s="286"/>
      <c r="I21" s="126"/>
      <c r="J21" s="93"/>
      <c r="K21" s="4"/>
      <c r="L21" s="287"/>
      <c r="M21" s="287"/>
      <c r="N21" s="287"/>
      <c r="O21" s="287"/>
      <c r="P21" s="287"/>
      <c r="Q21" s="287"/>
      <c r="R21" s="287"/>
      <c r="S21" s="287"/>
      <c r="T21" s="287"/>
      <c r="U21" s="287"/>
      <c r="V21" s="287"/>
      <c r="W21" s="287"/>
      <c r="X21" s="287"/>
    </row>
    <row r="22" spans="1:24" s="3" customFormat="1" ht="30.75" customHeight="1" x14ac:dyDescent="0.25">
      <c r="A22" s="43"/>
      <c r="B22" s="74"/>
      <c r="C22" s="74"/>
      <c r="D22" s="17"/>
      <c r="E22" s="17"/>
      <c r="F22" s="287"/>
      <c r="G22" s="287"/>
      <c r="H22" s="287"/>
      <c r="I22" s="77"/>
      <c r="J22" s="1"/>
      <c r="K22" s="4"/>
      <c r="L22" s="287"/>
      <c r="M22" s="287"/>
      <c r="N22" s="287"/>
      <c r="O22" s="287"/>
      <c r="P22" s="287"/>
      <c r="Q22" s="287"/>
      <c r="R22" s="287"/>
      <c r="S22" s="287"/>
      <c r="T22" s="287"/>
      <c r="U22" s="287"/>
      <c r="V22" s="287"/>
      <c r="W22" s="287"/>
      <c r="X22" s="287"/>
    </row>
    <row r="23" spans="1:24" s="3" customFormat="1" ht="27.75" customHeight="1" x14ac:dyDescent="0.25">
      <c r="A23" s="43"/>
      <c r="B23" s="367" t="s">
        <v>424</v>
      </c>
      <c r="C23" s="367"/>
      <c r="D23" s="367"/>
      <c r="E23" s="128">
        <f>SUM(E9:E20)</f>
        <v>0</v>
      </c>
      <c r="F23" s="287"/>
      <c r="G23" s="287"/>
      <c r="H23" s="287"/>
      <c r="I23" s="77"/>
      <c r="J23" s="1"/>
      <c r="K23" s="4"/>
      <c r="L23" s="287"/>
      <c r="M23" s="287"/>
      <c r="N23" s="287"/>
      <c r="O23" s="287"/>
      <c r="P23" s="287"/>
      <c r="Q23" s="287"/>
      <c r="R23" s="287"/>
      <c r="S23" s="287"/>
      <c r="T23" s="287"/>
      <c r="U23" s="287"/>
      <c r="V23" s="287"/>
      <c r="W23" s="287"/>
      <c r="X23" s="287"/>
    </row>
    <row r="24" spans="1:24" s="3" customFormat="1" ht="51" customHeight="1" x14ac:dyDescent="0.25">
      <c r="A24" s="43"/>
      <c r="B24" s="367" t="s">
        <v>425</v>
      </c>
      <c r="C24" s="367"/>
      <c r="D24" s="367"/>
      <c r="E24" s="96">
        <f>SUM(H9:H20)</f>
        <v>0</v>
      </c>
      <c r="F24" s="287"/>
      <c r="G24" s="287"/>
      <c r="H24" s="287"/>
      <c r="I24" s="77"/>
      <c r="J24" s="1"/>
      <c r="K24" s="4"/>
      <c r="L24" s="287"/>
      <c r="M24" s="287"/>
      <c r="N24" s="287"/>
      <c r="O24" s="287"/>
      <c r="P24" s="287"/>
      <c r="Q24" s="287"/>
      <c r="R24" s="287"/>
      <c r="S24" s="287"/>
      <c r="T24" s="287"/>
      <c r="U24" s="287"/>
      <c r="V24" s="287"/>
      <c r="W24" s="287"/>
      <c r="X24" s="287"/>
    </row>
    <row r="25" spans="1:24" s="3" customFormat="1" ht="45" customHeight="1" x14ac:dyDescent="0.25">
      <c r="A25" s="43"/>
      <c r="B25" s="366" t="s">
        <v>426</v>
      </c>
      <c r="C25" s="366"/>
      <c r="D25" s="366"/>
      <c r="E25" s="141">
        <f>IFERROR($E24/$E23,0)</f>
        <v>0</v>
      </c>
      <c r="F25" s="287"/>
      <c r="G25" s="287"/>
      <c r="H25" s="287"/>
      <c r="I25"/>
      <c r="J25"/>
      <c r="K25" s="4"/>
      <c r="L25" s="287"/>
      <c r="M25" s="287"/>
      <c r="N25" s="287"/>
      <c r="O25" s="287"/>
      <c r="P25" s="287"/>
      <c r="Q25" s="287"/>
      <c r="R25" s="287"/>
      <c r="S25" s="287"/>
      <c r="T25" s="287"/>
      <c r="U25" s="287"/>
      <c r="V25" s="287"/>
      <c r="W25" s="287"/>
      <c r="X25" s="287"/>
    </row>
    <row r="26" spans="1:24" s="3" customFormat="1" ht="21" customHeight="1" x14ac:dyDescent="0.25">
      <c r="A26" s="43"/>
      <c r="B26" s="82"/>
      <c r="C26" s="82"/>
      <c r="D26" s="82"/>
      <c r="E26" s="17"/>
      <c r="F26" s="287"/>
      <c r="G26" s="287"/>
      <c r="H26" s="287"/>
      <c r="I26"/>
      <c r="J26"/>
      <c r="K26" s="4"/>
      <c r="L26" s="287"/>
      <c r="M26" s="287"/>
      <c r="N26" s="287"/>
      <c r="O26" s="287"/>
      <c r="P26" s="287"/>
      <c r="Q26" s="287"/>
      <c r="R26" s="287"/>
      <c r="S26" s="287"/>
      <c r="T26" s="287"/>
      <c r="U26" s="287"/>
      <c r="V26" s="287"/>
      <c r="W26" s="287"/>
      <c r="X26" s="287"/>
    </row>
    <row r="27" spans="1:24" s="58" customFormat="1" ht="32.25" customHeight="1" x14ac:dyDescent="0.25">
      <c r="I27"/>
      <c r="J27"/>
      <c r="K27" s="79"/>
    </row>
    <row r="28" spans="1:24" s="58" customFormat="1" ht="37.5" customHeight="1" x14ac:dyDescent="0.25">
      <c r="D28" s="80"/>
      <c r="I28"/>
      <c r="J28"/>
      <c r="K28" s="79"/>
    </row>
    <row r="29" spans="1:24" s="58" customFormat="1" ht="39" customHeight="1" x14ac:dyDescent="0.25">
      <c r="I29"/>
      <c r="J29"/>
      <c r="K29" s="79"/>
    </row>
    <row r="30" spans="1:24" s="17" customFormat="1" ht="21" customHeight="1" x14ac:dyDescent="0.25">
      <c r="I30"/>
      <c r="J30"/>
      <c r="K30" s="79"/>
    </row>
    <row r="31" spans="1:24" s="17" customFormat="1" ht="21" customHeight="1" x14ac:dyDescent="0.25">
      <c r="I31"/>
      <c r="J31"/>
      <c r="K31" s="79"/>
    </row>
    <row r="32" spans="1:24" s="17" customFormat="1" ht="21" customHeight="1" x14ac:dyDescent="0.25">
      <c r="I32"/>
      <c r="J32"/>
      <c r="K32" s="79"/>
    </row>
    <row r="33" spans="2:24" s="17" customFormat="1" ht="21" customHeight="1" x14ac:dyDescent="0.25">
      <c r="I33"/>
      <c r="J33"/>
      <c r="K33" s="79"/>
    </row>
    <row r="34" spans="2:24" s="58" customFormat="1" ht="21" customHeight="1" x14ac:dyDescent="0.25">
      <c r="I34"/>
      <c r="J34"/>
      <c r="K34" s="79"/>
    </row>
    <row r="35" spans="2:24" ht="21" customHeight="1" x14ac:dyDescent="0.25">
      <c r="B35" s="73"/>
      <c r="C35" s="73"/>
      <c r="D35" s="73"/>
      <c r="E35" s="73"/>
      <c r="F35" s="73"/>
      <c r="G35" s="73"/>
      <c r="H35" s="73"/>
      <c r="I35"/>
      <c r="J35"/>
      <c r="L35" s="73"/>
      <c r="M35" s="73"/>
      <c r="N35" s="73"/>
      <c r="O35" s="73"/>
      <c r="P35" s="73"/>
      <c r="Q35" s="73"/>
      <c r="R35" s="73"/>
      <c r="S35" s="73"/>
      <c r="T35" s="73"/>
      <c r="U35" s="73"/>
      <c r="V35" s="73"/>
      <c r="W35" s="73"/>
      <c r="X35" s="73"/>
    </row>
    <row r="36" spans="2:24" ht="21" customHeight="1" x14ac:dyDescent="0.25">
      <c r="B36" s="73"/>
      <c r="C36" s="73"/>
      <c r="D36" s="73"/>
      <c r="E36" s="73"/>
      <c r="F36" s="73"/>
      <c r="G36" s="73"/>
      <c r="H36" s="73"/>
      <c r="I36"/>
      <c r="J36"/>
      <c r="L36" s="73"/>
      <c r="M36" s="73"/>
      <c r="N36" s="73"/>
      <c r="O36" s="73"/>
      <c r="P36" s="73"/>
      <c r="Q36" s="73"/>
      <c r="R36" s="73"/>
      <c r="S36" s="73"/>
      <c r="T36" s="73"/>
      <c r="U36" s="73"/>
      <c r="V36" s="73"/>
      <c r="W36" s="73"/>
      <c r="X36" s="73"/>
    </row>
    <row r="37" spans="2:24" x14ac:dyDescent="0.25">
      <c r="B37" s="73"/>
      <c r="C37" s="73"/>
      <c r="D37" s="73"/>
      <c r="E37" s="73"/>
      <c r="F37" s="73"/>
      <c r="G37" s="73"/>
      <c r="H37" s="73"/>
      <c r="I37"/>
      <c r="J37"/>
      <c r="L37" s="73"/>
      <c r="M37" s="73"/>
      <c r="N37" s="73"/>
      <c r="O37" s="73"/>
      <c r="P37" s="73"/>
      <c r="Q37" s="73"/>
      <c r="R37" s="73"/>
      <c r="S37" s="73"/>
      <c r="T37" s="73"/>
      <c r="U37" s="73"/>
      <c r="V37" s="73"/>
      <c r="W37" s="73"/>
      <c r="X37" s="73"/>
    </row>
  </sheetData>
  <sheetProtection algorithmName="SHA-512" hashValue="LIHJJMGxnMpaYdCSjhdie4r5K/7FJWESxUqsFY+kSX0D87RyoexL4LWItqZfwgzUaQd3UKt/mz3vx11XZws7Rg==" saltValue="Qnbcj31cH2NkSEgQCqnJmQ==" spinCount="100000" sheet="1" objects="1" scenarios="1" formatColumns="0" formatRows="0"/>
  <mergeCells count="16">
    <mergeCell ref="Q7:Q8"/>
    <mergeCell ref="B25:D25"/>
    <mergeCell ref="H7:H8"/>
    <mergeCell ref="J7:J8"/>
    <mergeCell ref="L7:L8"/>
    <mergeCell ref="M7:M8"/>
    <mergeCell ref="O7:O8"/>
    <mergeCell ref="P7:P8"/>
    <mergeCell ref="B7:B8"/>
    <mergeCell ref="C7:C8"/>
    <mergeCell ref="D7:D8"/>
    <mergeCell ref="E7:E8"/>
    <mergeCell ref="F7:F8"/>
    <mergeCell ref="B23:D23"/>
    <mergeCell ref="B24:D24"/>
    <mergeCell ref="G7:G8"/>
  </mergeCells>
  <conditionalFormatting sqref="G9:G20">
    <cfRule type="expression" dxfId="3" priority="2">
      <formula>OR($F9="inherently nonemitting sources", $F9="salvaged and reused materials",$F9="other (specify)", $F9="does not meet criteria")</formula>
    </cfRule>
  </conditionalFormatting>
  <dataValidations count="2">
    <dataValidation type="list" allowBlank="1" showInputMessage="1" sqref="G9:G20" xr:uid="{00000000-0002-0000-0700-000000000000}">
      <formula1>OFFSET(STstart,MATCH($F9,STList,0),0,COUNTIF(STList,$F9),1)</formula1>
    </dataValidation>
    <dataValidation type="list" allowBlank="1" showInputMessage="1" showErrorMessage="1" sqref="F9:F20" xr:uid="{00000000-0002-0000-0700-000001000000}">
      <formula1>"furniture emissions evaluation,inherently nonemitting sources,salvaged and reused materials,does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ddA">
                <anchor moveWithCells="1">
                  <from>
                    <xdr:col>1</xdr:col>
                    <xdr:colOff>9525</xdr:colOff>
                    <xdr:row>26</xdr:row>
                    <xdr:rowOff>180975</xdr:rowOff>
                  </from>
                  <to>
                    <xdr:col>1</xdr:col>
                    <xdr:colOff>1400175</xdr:colOff>
                    <xdr:row>27</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DeleteRow">
                <anchor moveWithCells="1">
                  <from>
                    <xdr:col>3</xdr:col>
                    <xdr:colOff>838200</xdr:colOff>
                    <xdr:row>26</xdr:row>
                    <xdr:rowOff>180975</xdr:rowOff>
                  </from>
                  <to>
                    <xdr:col>4</xdr:col>
                    <xdr:colOff>1219200</xdr:colOff>
                    <xdr:row>27</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X42"/>
  <sheetViews>
    <sheetView showGridLines="0" zoomScale="80" zoomScaleNormal="80" zoomScalePageLayoutView="80" workbookViewId="0">
      <pane ySplit="9" topLeftCell="A10" activePane="bottomLeft" state="frozen"/>
      <selection pane="bottomLeft" activeCell="F8" sqref="F8:F9"/>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7" width="27.85546875" style="2" customWidth="1"/>
    <col min="8" max="8" width="45.140625" style="2" customWidth="1"/>
    <col min="9" max="9" width="2.42578125" style="2" customWidth="1"/>
    <col min="10" max="10" width="45.85546875" style="2" customWidth="1"/>
    <col min="11" max="11" width="4" style="4" customWidth="1"/>
    <col min="12" max="13" width="13.28515625" style="2" hidden="1" customWidth="1"/>
    <col min="14" max="14" width="5.7109375" style="2" hidden="1" customWidth="1"/>
    <col min="15" max="16" width="12.42578125" style="2" hidden="1" customWidth="1"/>
    <col min="17" max="17" width="13" style="2" hidden="1" customWidth="1"/>
    <col min="18" max="16384" width="8.85546875" style="2"/>
  </cols>
  <sheetData>
    <row r="1" spans="1:17" ht="15" customHeight="1" x14ac:dyDescent="0.2">
      <c r="A1" s="285"/>
      <c r="B1" s="285"/>
      <c r="C1" s="285"/>
      <c r="D1" s="285"/>
      <c r="E1" s="285"/>
      <c r="F1" s="285"/>
      <c r="G1" s="285"/>
      <c r="H1" s="285"/>
      <c r="I1" s="285"/>
      <c r="J1" s="285"/>
      <c r="K1" s="73"/>
      <c r="L1" s="73"/>
      <c r="M1" s="73"/>
      <c r="N1" s="73"/>
      <c r="O1" s="73"/>
      <c r="P1" s="73"/>
      <c r="Q1" s="73"/>
    </row>
    <row r="2" spans="1:17" ht="20.25" customHeight="1" x14ac:dyDescent="0.2">
      <c r="A2" s="5"/>
      <c r="B2" s="6" t="s">
        <v>427</v>
      </c>
      <c r="C2" s="6"/>
      <c r="D2" s="7"/>
      <c r="E2" s="7"/>
      <c r="F2" s="8"/>
      <c r="G2" s="7"/>
      <c r="H2" s="7"/>
      <c r="I2" s="7"/>
      <c r="J2" s="7"/>
      <c r="K2" s="73"/>
      <c r="L2" s="73"/>
      <c r="M2" s="73"/>
      <c r="N2" s="73"/>
      <c r="O2" s="73"/>
      <c r="P2" s="73"/>
      <c r="Q2" s="73"/>
    </row>
    <row r="3" spans="1:17" ht="15.75" customHeight="1" x14ac:dyDescent="0.2">
      <c r="A3" s="285"/>
      <c r="B3" s="285"/>
      <c r="C3" s="285"/>
      <c r="D3" s="285"/>
      <c r="E3" s="285"/>
      <c r="F3" s="285"/>
      <c r="G3" s="285"/>
      <c r="H3" s="285"/>
      <c r="I3" s="285"/>
      <c r="J3" s="285"/>
      <c r="K3" s="73"/>
      <c r="L3" s="73"/>
      <c r="M3" s="73"/>
      <c r="N3" s="73"/>
      <c r="O3" s="73"/>
      <c r="P3" s="73"/>
      <c r="Q3" s="73"/>
    </row>
    <row r="4" spans="1:17" ht="22.5" customHeight="1" x14ac:dyDescent="0.25">
      <c r="A4" s="73"/>
      <c r="B4" s="73"/>
      <c r="C4" s="73"/>
      <c r="D4" s="73"/>
      <c r="E4" s="289"/>
      <c r="F4" s="73"/>
      <c r="G4" s="73"/>
      <c r="H4" s="73"/>
      <c r="I4" s="73"/>
      <c r="J4" s="73"/>
      <c r="L4" s="73"/>
      <c r="M4" s="73"/>
      <c r="N4" s="73"/>
      <c r="O4" s="73"/>
      <c r="P4" s="73"/>
      <c r="Q4" s="73"/>
    </row>
    <row r="5" spans="1:17" ht="19.149999999999999" customHeight="1" x14ac:dyDescent="0.25">
      <c r="A5" s="73"/>
      <c r="B5" s="73" t="s">
        <v>337</v>
      </c>
      <c r="C5" s="73"/>
      <c r="D5" s="290"/>
      <c r="E5" s="113" t="s">
        <v>391</v>
      </c>
      <c r="F5" s="291"/>
      <c r="G5" s="73"/>
      <c r="H5" s="73"/>
      <c r="I5" s="73"/>
      <c r="J5" s="73"/>
      <c r="L5" s="73"/>
      <c r="M5" s="73"/>
      <c r="N5" s="73"/>
      <c r="O5" s="73"/>
      <c r="P5" s="73"/>
      <c r="Q5" s="73"/>
    </row>
    <row r="6" spans="1:17" ht="15.75" customHeight="1" x14ac:dyDescent="0.25">
      <c r="A6" s="73"/>
      <c r="B6" s="73"/>
      <c r="C6" s="73"/>
      <c r="D6" s="73"/>
      <c r="E6" s="292"/>
      <c r="F6" s="73"/>
      <c r="G6" s="73"/>
      <c r="H6" s="73"/>
      <c r="I6" s="73"/>
      <c r="J6" s="73"/>
      <c r="L6" s="73"/>
      <c r="M6" s="73"/>
      <c r="N6" s="73"/>
      <c r="O6" s="73"/>
      <c r="P6" s="73"/>
      <c r="Q6" s="73"/>
    </row>
    <row r="7" spans="1:17" ht="22.5" customHeight="1" x14ac:dyDescent="0.25">
      <c r="A7" s="73"/>
      <c r="B7" s="73"/>
      <c r="C7" s="73"/>
      <c r="D7" s="73"/>
      <c r="E7" s="73"/>
      <c r="F7" s="73"/>
      <c r="G7" s="73"/>
      <c r="H7" s="73"/>
      <c r="I7" s="73"/>
      <c r="J7" s="73"/>
      <c r="L7" s="73"/>
      <c r="M7" s="73"/>
      <c r="N7" s="73"/>
      <c r="O7" s="73"/>
      <c r="P7" s="73"/>
      <c r="Q7" s="73"/>
    </row>
    <row r="8" spans="1:17" ht="44.25" customHeight="1" x14ac:dyDescent="0.25">
      <c r="A8" s="73"/>
      <c r="B8" s="351" t="s">
        <v>341</v>
      </c>
      <c r="C8" s="351" t="s">
        <v>342</v>
      </c>
      <c r="D8" s="351" t="s">
        <v>343</v>
      </c>
      <c r="E8" s="351" t="s">
        <v>392</v>
      </c>
      <c r="F8" s="351" t="str">
        <f>"Product surface area" &amp; IF(Instructions!$H$10="IP Units", " (sq ft)", IF(Instructions!$H$10="SI Units"," (sq m)"))</f>
        <v>Product surface area (sq ft)</v>
      </c>
      <c r="G8" s="348" t="s">
        <v>421</v>
      </c>
      <c r="H8" s="140" t="s">
        <v>428</v>
      </c>
      <c r="I8" s="368"/>
      <c r="J8" s="351" t="s">
        <v>393</v>
      </c>
      <c r="L8" s="345" t="s">
        <v>356</v>
      </c>
      <c r="M8" s="345" t="s">
        <v>357</v>
      </c>
      <c r="N8" s="73"/>
      <c r="O8" s="347" t="s">
        <v>358</v>
      </c>
      <c r="P8" s="347" t="s">
        <v>359</v>
      </c>
      <c r="Q8" s="344" t="s">
        <v>360</v>
      </c>
    </row>
    <row r="9" spans="1:17" ht="31.5" customHeight="1" x14ac:dyDescent="0.25">
      <c r="A9" s="73"/>
      <c r="B9" s="351"/>
      <c r="C9" s="351"/>
      <c r="D9" s="351"/>
      <c r="E9" s="351"/>
      <c r="F9" s="351"/>
      <c r="G9" s="348"/>
      <c r="H9" s="98" t="s">
        <v>429</v>
      </c>
      <c r="I9" s="369"/>
      <c r="J9" s="351"/>
      <c r="L9" s="346"/>
      <c r="M9" s="346"/>
      <c r="N9" s="73"/>
      <c r="O9" s="347"/>
      <c r="P9" s="347"/>
      <c r="Q9" s="344"/>
    </row>
    <row r="10" spans="1:17" s="50" customFormat="1" ht="12" x14ac:dyDescent="0.25">
      <c r="A10" s="48">
        <f t="shared" ref="A10:A19" si="0">IF(D10&gt;=0,0,0)</f>
        <v>0</v>
      </c>
      <c r="B10" s="143"/>
      <c r="C10" s="144"/>
      <c r="D10" s="145"/>
      <c r="E10" s="146"/>
      <c r="F10" s="147"/>
      <c r="G10" s="148"/>
      <c r="H10" s="149"/>
      <c r="I10" s="54"/>
      <c r="J10" s="150"/>
      <c r="K10" s="49"/>
      <c r="L10" s="51" t="e">
        <f>IF(AND(#REF!="composite wood",(COUNTIF(#REF!,"Y")+COUNTIF(#REF!,"Y")+COUNTIF(#REF!,"Y")+COUNTIF(#REF!,"Y"))=0),"Yes","No")</f>
        <v>#REF!</v>
      </c>
      <c r="M10" s="51" t="e">
        <f>IF(AND(L10="Yes",#REF!="Y"),1,0)</f>
        <v>#REF!</v>
      </c>
      <c r="O10" s="52" t="e">
        <f>IF(#REF!="Inherently nonemitting",1,COUNTIF(#REF!,"Y")+COUNTIF(#REF!,"Y")+COUNTIF(#REF!,"Y")+COUNTIF(#REF!,"Y")+COUNTIF(#REF!,"Y"))</f>
        <v>#REF!</v>
      </c>
      <c r="P10" s="52" t="e">
        <f>IF(#REF!="Yes",1,COUNTIF(#REF!,"Y")+COUNTIF(#REF!,"Y")+COUNTIF(#REF!,"Y")+COUNTIF(#REF!,"Y")+COUNTIF(#REF!,"Y"))</f>
        <v>#REF!</v>
      </c>
      <c r="Q10" s="53" t="e">
        <f>IF(AND(O10&gt;0,P10=O10),IF(AND(#REF!=0,#REF!=0),#REF!,IF(#REF!="Yes",#REF!,#REF!)),0)</f>
        <v>#REF!</v>
      </c>
    </row>
    <row r="11" spans="1:17" s="50" customFormat="1" ht="12" x14ac:dyDescent="0.25">
      <c r="A11" s="48">
        <f t="shared" si="0"/>
        <v>0</v>
      </c>
      <c r="B11" s="61"/>
      <c r="C11" s="70"/>
      <c r="D11" s="129"/>
      <c r="E11" s="99"/>
      <c r="F11" s="111"/>
      <c r="G11" s="84"/>
      <c r="H11" s="68"/>
      <c r="I11" s="54"/>
      <c r="J11" s="55"/>
      <c r="K11" s="49"/>
      <c r="L11" s="56" t="e">
        <f>IF(AND(#REF!="composite wood",(COUNTIF(#REF!,"Y")+COUNTIF(#REF!,"Y")+COUNTIF(#REF!,"Y")+COUNTIF(#REF!,"Y"))=0),"Yes","No")</f>
        <v>#REF!</v>
      </c>
      <c r="M11" s="56" t="e">
        <f>IF(AND(L11="Yes",#REF!="Y"),1,0)</f>
        <v>#REF!</v>
      </c>
      <c r="O11" s="52" t="e">
        <f>IF(#REF!="Yes",1,COUNTIF(#REF!,"Y")+COUNTIF(#REF!,"Y")+COUNTIF(#REF!,"Y")+COUNTIF(#REF!,"Y")+COUNTIF(#REF!,"Y"))</f>
        <v>#REF!</v>
      </c>
      <c r="P11" s="52" t="e">
        <f>IF(#REF!="Yes",1,COUNTIF(#REF!,"Y")+COUNTIF(#REF!,"Y")+COUNTIF(#REF!,"Y")+COUNTIF(#REF!,"Y")+COUNTIF(#REF!,"Y"))</f>
        <v>#REF!</v>
      </c>
      <c r="Q11" s="53" t="e">
        <f>IF(AND(O11&gt;0,P11=O11),IF(AND(#REF!=0,#REF!=0),#REF!,IF(#REF!="Yes",#REF!,#REF!)),0)</f>
        <v>#REF!</v>
      </c>
    </row>
    <row r="12" spans="1:17" s="50" customFormat="1" ht="12" x14ac:dyDescent="0.25">
      <c r="A12" s="48">
        <f t="shared" si="0"/>
        <v>0</v>
      </c>
      <c r="B12" s="61"/>
      <c r="C12" s="70"/>
      <c r="D12" s="129"/>
      <c r="E12" s="99"/>
      <c r="F12" s="111"/>
      <c r="G12" s="84"/>
      <c r="H12" s="68"/>
      <c r="I12" s="54"/>
      <c r="J12" s="55"/>
      <c r="K12" s="49"/>
      <c r="L12" s="56" t="e">
        <f>IF(AND(#REF!="composite wood",(COUNTIF(#REF!,"Y")+COUNTIF(#REF!,"Y")+COUNTIF(#REF!,"Y")+COUNTIF(#REF!,"Y"))=0),"Yes","No")</f>
        <v>#REF!</v>
      </c>
      <c r="M12" s="56" t="e">
        <f>IF(AND(L12="Yes",#REF!="Y"),1,0)</f>
        <v>#REF!</v>
      </c>
      <c r="O12" s="52" t="e">
        <f>IF(#REF!="Yes",1,COUNTIF(#REF!,"Y")+COUNTIF(#REF!,"Y")+COUNTIF(#REF!,"Y")+COUNTIF(#REF!,"Y")+COUNTIF(#REF!,"Y"))</f>
        <v>#REF!</v>
      </c>
      <c r="P12" s="52" t="e">
        <f>IF(#REF!="Yes",1,COUNTIF(#REF!,"Y")+COUNTIF(#REF!,"Y")+COUNTIF(#REF!,"Y")+COUNTIF(#REF!,"Y")+COUNTIF(#REF!,"Y"))</f>
        <v>#REF!</v>
      </c>
      <c r="Q12" s="53" t="e">
        <f>IF(AND(O12&gt;0,P12=O12),IF(AND(#REF!=0,#REF!=0),#REF!,IF(#REF!="Yes",#REF!,#REF!)),0)</f>
        <v>#REF!</v>
      </c>
    </row>
    <row r="13" spans="1:17" s="50" customFormat="1" ht="12" x14ac:dyDescent="0.25">
      <c r="A13" s="48">
        <f t="shared" si="0"/>
        <v>0</v>
      </c>
      <c r="B13" s="61"/>
      <c r="C13" s="70"/>
      <c r="D13" s="129"/>
      <c r="E13" s="99"/>
      <c r="F13" s="111"/>
      <c r="G13" s="84"/>
      <c r="H13" s="68"/>
      <c r="I13" s="54"/>
      <c r="J13" s="55"/>
      <c r="K13" s="49"/>
      <c r="L13" s="56" t="e">
        <f>IF(AND(#REF!="composite wood",(COUNTIF(#REF!,"Y")+COUNTIF(#REF!,"Y")+COUNTIF(#REF!,"Y")+COUNTIF(#REF!,"Y"))=0),"Yes","No")</f>
        <v>#REF!</v>
      </c>
      <c r="M13" s="56" t="e">
        <f>IF(AND(L13="Yes",#REF!="Y"),1,0)</f>
        <v>#REF!</v>
      </c>
      <c r="O13" s="52" t="e">
        <f>IF(#REF!="Yes",1,COUNTIF(#REF!,"Y")+COUNTIF(#REF!,"Y")+COUNTIF(#REF!,"Y")+COUNTIF(#REF!,"Y")+COUNTIF(#REF!,"Y"))</f>
        <v>#REF!</v>
      </c>
      <c r="P13" s="52" t="e">
        <f>IF(#REF!="Yes",1,COUNTIF(#REF!,"Y")+COUNTIF(#REF!,"Y")+COUNTIF(#REF!,"Y")+COUNTIF(#REF!,"Y")+COUNTIF(#REF!,"Y"))</f>
        <v>#REF!</v>
      </c>
      <c r="Q13" s="53" t="e">
        <f>IF(AND(O13&gt;0,P13=O13),IF(AND(#REF!=0,#REF!=0),#REF!,IF(#REF!="Yes",#REF!,#REF!)),0)</f>
        <v>#REF!</v>
      </c>
    </row>
    <row r="14" spans="1:17" s="50" customFormat="1" ht="12" x14ac:dyDescent="0.25">
      <c r="A14" s="48">
        <f t="shared" si="0"/>
        <v>0</v>
      </c>
      <c r="B14" s="61"/>
      <c r="C14" s="70"/>
      <c r="D14" s="129"/>
      <c r="E14" s="99"/>
      <c r="F14" s="111"/>
      <c r="G14" s="84"/>
      <c r="H14" s="68"/>
      <c r="I14" s="54"/>
      <c r="J14" s="55"/>
      <c r="K14" s="49"/>
      <c r="L14" s="56" t="e">
        <f>IF(AND(#REF!="composite wood",(COUNTIF(#REF!,"Y")+COUNTIF(#REF!,"Y")+COUNTIF(#REF!,"Y")+COUNTIF(#REF!,"Y"))=0),"Yes","No")</f>
        <v>#REF!</v>
      </c>
      <c r="M14" s="56" t="e">
        <f>IF(AND(L14="Yes",#REF!="Y"),1,0)</f>
        <v>#REF!</v>
      </c>
      <c r="O14" s="52" t="e">
        <f>IF(#REF!="Yes",1,COUNTIF(#REF!,"Y")+COUNTIF(#REF!,"Y")+COUNTIF(#REF!,"Y")+COUNTIF(#REF!,"Y")+COUNTIF(#REF!,"Y"))</f>
        <v>#REF!</v>
      </c>
      <c r="P14" s="52" t="e">
        <f>IF(#REF!="Yes",1,COUNTIF(#REF!,"Y")+COUNTIF(#REF!,"Y")+COUNTIF(#REF!,"Y")+COUNTIF(#REF!,"Y")+COUNTIF(#REF!,"Y"))</f>
        <v>#REF!</v>
      </c>
      <c r="Q14" s="53" t="e">
        <f>IF(AND(O14&gt;0,P14=O14),IF(AND(#REF!=0,#REF!=0),#REF!,IF(#REF!="Yes",#REF!,#REF!)),0)</f>
        <v>#REF!</v>
      </c>
    </row>
    <row r="15" spans="1:17" s="50" customFormat="1" ht="12" x14ac:dyDescent="0.25">
      <c r="A15" s="48">
        <f t="shared" si="0"/>
        <v>0</v>
      </c>
      <c r="B15" s="61"/>
      <c r="C15" s="70"/>
      <c r="D15" s="129"/>
      <c r="E15" s="99"/>
      <c r="F15" s="111"/>
      <c r="G15" s="84"/>
      <c r="H15" s="68"/>
      <c r="I15" s="54"/>
      <c r="J15" s="55"/>
      <c r="K15" s="49"/>
      <c r="L15" s="56" t="e">
        <f>IF(AND(#REF!="composite wood",(COUNTIF(#REF!,"Y")+COUNTIF(#REF!,"Y")+COUNTIF(#REF!,"Y")+COUNTIF(#REF!,"Y"))=0),"Yes","No")</f>
        <v>#REF!</v>
      </c>
      <c r="M15" s="56" t="e">
        <f>IF(AND(L15="Yes",#REF!="Y"),1,0)</f>
        <v>#REF!</v>
      </c>
      <c r="O15" s="52" t="e">
        <f>IF(#REF!="Yes",1,COUNTIF(#REF!,"Y")+COUNTIF(#REF!,"Y")+COUNTIF(#REF!,"Y")+COUNTIF(#REF!,"Y")+COUNTIF(#REF!,"Y"))</f>
        <v>#REF!</v>
      </c>
      <c r="P15" s="52" t="e">
        <f>IF(#REF!="Yes",1,COUNTIF(#REF!,"Y")+COUNTIF(#REF!,"Y")+COUNTIF(#REF!,"Y")+COUNTIF(#REF!,"Y")+COUNTIF(#REF!,"Y"))</f>
        <v>#REF!</v>
      </c>
      <c r="Q15" s="53" t="e">
        <f>IF(AND(O15&gt;0,P15=O15),IF(AND(#REF!=0,#REF!=0),#REF!,IF(#REF!="Yes",#REF!,#REF!)),0)</f>
        <v>#REF!</v>
      </c>
    </row>
    <row r="16" spans="1:17" s="50" customFormat="1" ht="12" x14ac:dyDescent="0.25">
      <c r="A16" s="48">
        <f t="shared" si="0"/>
        <v>0</v>
      </c>
      <c r="B16" s="61"/>
      <c r="C16" s="70"/>
      <c r="D16" s="129"/>
      <c r="E16" s="99"/>
      <c r="F16" s="111"/>
      <c r="G16" s="84"/>
      <c r="H16" s="68"/>
      <c r="I16" s="54"/>
      <c r="J16" s="55"/>
      <c r="K16" s="49"/>
      <c r="L16" s="56" t="e">
        <f>IF(AND(#REF!="composite wood",(COUNTIF(#REF!,"Y")+COUNTIF(#REF!,"Y")+COUNTIF(#REF!,"Y")+COUNTIF(#REF!,"Y"))=0),"Yes","No")</f>
        <v>#REF!</v>
      </c>
      <c r="M16" s="56" t="e">
        <f>IF(AND(L16="Yes",#REF!="Y"),1,0)</f>
        <v>#REF!</v>
      </c>
      <c r="O16" s="52" t="e">
        <f>IF(#REF!="Yes",1,COUNTIF(#REF!,"Y")+COUNTIF(#REF!,"Y")+COUNTIF(#REF!,"Y")+COUNTIF(#REF!,"Y")+COUNTIF(#REF!,"Y"))</f>
        <v>#REF!</v>
      </c>
      <c r="P16" s="52" t="e">
        <f>IF(#REF!="Yes",1,COUNTIF(#REF!,"Y")+COUNTIF(#REF!,"Y")+COUNTIF(#REF!,"Y")+COUNTIF(#REF!,"Y")+COUNTIF(#REF!,"Y"))</f>
        <v>#REF!</v>
      </c>
      <c r="Q16" s="53" t="e">
        <f>IF(AND(O16&gt;0,P16=O16),IF(AND(#REF!=0,#REF!=0),#REF!,IF(#REF!="Yes",#REF!,#REF!)),0)</f>
        <v>#REF!</v>
      </c>
    </row>
    <row r="17" spans="1:24" s="50" customFormat="1" ht="12" x14ac:dyDescent="0.25">
      <c r="A17" s="48">
        <f t="shared" si="0"/>
        <v>0</v>
      </c>
      <c r="B17" s="61"/>
      <c r="C17" s="70"/>
      <c r="D17" s="129"/>
      <c r="E17" s="99"/>
      <c r="F17" s="111"/>
      <c r="G17" s="84"/>
      <c r="H17" s="68"/>
      <c r="I17" s="54"/>
      <c r="J17" s="55"/>
      <c r="K17" s="49"/>
      <c r="L17" s="56" t="e">
        <f>IF(AND(#REF!="composite wood",(COUNTIF(#REF!,"Y")+COUNTIF(#REF!,"Y")+COUNTIF(#REF!,"Y")+COUNTIF(#REF!,"Y"))=0),"Yes","No")</f>
        <v>#REF!</v>
      </c>
      <c r="M17" s="56" t="e">
        <f>IF(AND(L17="Yes",#REF!="Y"),1,0)</f>
        <v>#REF!</v>
      </c>
      <c r="O17" s="52" t="e">
        <f>IF(#REF!="Yes",1,COUNTIF(#REF!,"Y")+COUNTIF(#REF!,"Y")+COUNTIF(#REF!,"Y")+COUNTIF(#REF!,"Y")+COUNTIF(#REF!,"Y"))</f>
        <v>#REF!</v>
      </c>
      <c r="P17" s="52" t="e">
        <f>IF(#REF!="Yes",1,COUNTIF(#REF!,"Y")+COUNTIF(#REF!,"Y")+COUNTIF(#REF!,"Y")+COUNTIF(#REF!,"Y")+COUNTIF(#REF!,"Y"))</f>
        <v>#REF!</v>
      </c>
      <c r="Q17" s="53" t="e">
        <f>IF(AND(O17&gt;0,P17=O17),IF(AND(#REF!=0,#REF!=0),#REF!,IF(#REF!="Yes",#REF!,#REF!)),0)</f>
        <v>#REF!</v>
      </c>
    </row>
    <row r="18" spans="1:24" s="50" customFormat="1" ht="12" x14ac:dyDescent="0.25">
      <c r="A18" s="48">
        <f t="shared" si="0"/>
        <v>0</v>
      </c>
      <c r="B18" s="61"/>
      <c r="C18" s="70"/>
      <c r="D18" s="129"/>
      <c r="E18" s="99"/>
      <c r="F18" s="111"/>
      <c r="G18" s="84"/>
      <c r="H18" s="68"/>
      <c r="I18" s="54"/>
      <c r="J18" s="55"/>
      <c r="K18" s="49"/>
      <c r="L18" s="56" t="e">
        <f>IF(AND(#REF!="composite wood",(COUNTIF(#REF!,"Y")+COUNTIF(#REF!,"Y")+COUNTIF(#REF!,"Y")+COUNTIF(#REF!,"Y"))=0),"Yes","No")</f>
        <v>#REF!</v>
      </c>
      <c r="M18" s="56" t="e">
        <f>IF(AND(L18="Yes",#REF!="Y"),1,0)</f>
        <v>#REF!</v>
      </c>
      <c r="O18" s="52" t="e">
        <f>IF(#REF!="Yes",1,COUNTIF(#REF!,"Y")+COUNTIF(#REF!,"Y")+COUNTIF(#REF!,"Y")+COUNTIF(#REF!,"Y")+COUNTIF(#REF!,"Y"))</f>
        <v>#REF!</v>
      </c>
      <c r="P18" s="52" t="e">
        <f>IF(#REF!="Yes",1,COUNTIF(#REF!,"Y")+COUNTIF(#REF!,"Y")+COUNTIF(#REF!,"Y")+COUNTIF(#REF!,"Y")+COUNTIF(#REF!,"Y"))</f>
        <v>#REF!</v>
      </c>
      <c r="Q18" s="53" t="e">
        <f>IF(AND(O18&gt;0,P18=O18),IF(AND(#REF!=0,#REF!=0),#REF!,IF(#REF!="Yes",#REF!,#REF!)),0)</f>
        <v>#REF!</v>
      </c>
    </row>
    <row r="19" spans="1:24" s="50" customFormat="1" ht="12" x14ac:dyDescent="0.25">
      <c r="A19" s="48">
        <f t="shared" si="0"/>
        <v>0</v>
      </c>
      <c r="B19" s="61"/>
      <c r="C19" s="70"/>
      <c r="D19" s="129"/>
      <c r="E19" s="99"/>
      <c r="F19" s="111"/>
      <c r="G19" s="84"/>
      <c r="H19" s="68"/>
      <c r="I19" s="54"/>
      <c r="J19" s="55"/>
      <c r="K19" s="49"/>
      <c r="L19" s="56" t="e">
        <f>IF(AND(#REF!="composite wood",(COUNTIF(#REF!,"Y")+COUNTIF(#REF!,"Y")+COUNTIF(#REF!,"Y")+COUNTIF(#REF!,"Y"))=0),"Yes","No")</f>
        <v>#REF!</v>
      </c>
      <c r="M19" s="56" t="e">
        <f>IF(AND(L19="Yes",#REF!="Y"),1,0)</f>
        <v>#REF!</v>
      </c>
      <c r="O19" s="52" t="e">
        <f>IF(#REF!="Yes",1,COUNTIF(#REF!,"Y")+COUNTIF(#REF!,"Y")+COUNTIF(#REF!,"Y")+COUNTIF(#REF!,"Y")+COUNTIF(#REF!,"Y"))</f>
        <v>#REF!</v>
      </c>
      <c r="P19" s="52" t="e">
        <f>IF(#REF!="Yes",1,COUNTIF(#REF!,"Y")+COUNTIF(#REF!,"Y")+COUNTIF(#REF!,"Y")+COUNTIF(#REF!,"Y")+COUNTIF(#REF!,"Y"))</f>
        <v>#REF!</v>
      </c>
      <c r="Q19" s="53" t="e">
        <f>IF(AND(O19&gt;0,P19=O19),IF(AND(#REF!=0,#REF!=0),#REF!,IF(#REF!="Yes",#REF!,#REF!)),0)</f>
        <v>#REF!</v>
      </c>
    </row>
    <row r="20" spans="1:24" s="50" customFormat="1" ht="12" x14ac:dyDescent="0.25">
      <c r="A20" s="48"/>
      <c r="B20" s="61"/>
      <c r="C20" s="70"/>
      <c r="D20" s="129"/>
      <c r="E20" s="99"/>
      <c r="F20" s="111"/>
      <c r="G20" s="84"/>
      <c r="H20" s="68"/>
      <c r="I20" s="54"/>
      <c r="J20" s="55"/>
      <c r="K20" s="49"/>
      <c r="L20" s="56" t="e">
        <f>IF(AND(#REF!="composite wood",(COUNTIF(#REF!,"Y")+COUNTIF(#REF!,"Y")+COUNTIF(#REF!,"Y")+COUNTIF(#REF!,"Y"))=0),"Yes","No")</f>
        <v>#REF!</v>
      </c>
      <c r="M20" s="56" t="e">
        <f>IF(AND(L20="Yes",#REF!="Y"),1,0)</f>
        <v>#REF!</v>
      </c>
      <c r="O20" s="52" t="e">
        <f>IF(#REF!="Yes",1,COUNTIF(#REF!,"Y")+COUNTIF(#REF!,"Y")+COUNTIF(#REF!,"Y")+COUNTIF(#REF!,"Y")+COUNTIF(#REF!,"Y"))</f>
        <v>#REF!</v>
      </c>
      <c r="P20" s="52" t="e">
        <f>IF(#REF!="Yes",1,COUNTIF(#REF!,"Y")+COUNTIF(#REF!,"Y")+COUNTIF(#REF!,"Y")+COUNTIF(#REF!,"Y")+COUNTIF(#REF!,"Y"))</f>
        <v>#REF!</v>
      </c>
      <c r="Q20" s="53" t="e">
        <f>IF(AND(O20&gt;0,P20=O20),IF(AND(#REF!=0,#REF!=0),#REF!,IF(#REF!="Yes",#REF!,#REF!)),0)</f>
        <v>#REF!</v>
      </c>
    </row>
    <row r="21" spans="1:24" s="50" customFormat="1" ht="12" x14ac:dyDescent="0.25">
      <c r="A21" s="48"/>
      <c r="B21" s="67"/>
      <c r="C21" s="71"/>
      <c r="D21" s="130"/>
      <c r="E21" s="99"/>
      <c r="F21" s="111"/>
      <c r="G21" s="84"/>
      <c r="H21" s="68"/>
      <c r="I21" s="54"/>
      <c r="J21" s="57"/>
      <c r="K21" s="49"/>
      <c r="L21" s="56" t="e">
        <f>IF(AND(#REF!="composite wood",(COUNTIF(#REF!,"Y")+COUNTIF(#REF!,"Y")+COUNTIF(#REF!,"Y")+COUNTIF(#REF!,"Y"))=0),"Yes","No")</f>
        <v>#REF!</v>
      </c>
      <c r="M21" s="56" t="e">
        <f>IF(AND(L21="Yes",#REF!="Y"),1,0)</f>
        <v>#REF!</v>
      </c>
      <c r="O21" s="52" t="e">
        <f>IF(#REF!="Yes",1,COUNTIF(#REF!,"Y")+COUNTIF(#REF!,"Y")+COUNTIF(#REF!,"Y")+COUNTIF(#REF!,"Y")+COUNTIF(#REF!,"Y"))</f>
        <v>#REF!</v>
      </c>
      <c r="P21" s="52" t="e">
        <f>IF(#REF!="Yes",1,COUNTIF(#REF!,"Y")+COUNTIF(#REF!,"Y")+COUNTIF(#REF!,"Y")+COUNTIF(#REF!,"Y")+COUNTIF(#REF!,"Y"))</f>
        <v>#REF!</v>
      </c>
      <c r="Q21" s="53" t="e">
        <f>IF(AND(O21&gt;0,P21=O21),IF(AND(#REF!=0,#REF!=0),#REF!,IF(#REF!="Yes",#REF!,#REF!)),0)</f>
        <v>#REF!</v>
      </c>
    </row>
    <row r="22" spans="1:24" s="3" customFormat="1" ht="21" customHeight="1" x14ac:dyDescent="0.25">
      <c r="A22" s="43" t="s">
        <v>371</v>
      </c>
      <c r="B22" s="44"/>
      <c r="C22" s="72"/>
      <c r="D22" s="45"/>
      <c r="E22" s="69"/>
      <c r="F22" s="69"/>
      <c r="G22" s="286"/>
      <c r="H22" s="293"/>
      <c r="I22" s="9"/>
      <c r="J22" s="81"/>
      <c r="K22" s="4"/>
      <c r="L22" s="287"/>
      <c r="M22" s="287"/>
      <c r="N22" s="287"/>
      <c r="O22" s="287"/>
      <c r="P22" s="287"/>
      <c r="Q22" s="287"/>
      <c r="R22" s="287"/>
      <c r="S22" s="287"/>
      <c r="T22" s="287"/>
      <c r="U22" s="287"/>
      <c r="V22" s="287"/>
      <c r="W22" s="287"/>
      <c r="X22" s="287"/>
    </row>
    <row r="23" spans="1:24" s="3" customFormat="1" ht="30.75" customHeight="1" x14ac:dyDescent="0.25">
      <c r="A23" s="43"/>
      <c r="B23" s="74"/>
      <c r="C23" s="74"/>
      <c r="D23" s="17"/>
      <c r="E23" s="17"/>
      <c r="F23" s="17"/>
      <c r="G23" s="287"/>
      <c r="H23" s="287"/>
      <c r="I23" s="77"/>
      <c r="J23" s="1"/>
      <c r="K23" s="4"/>
      <c r="L23" s="287"/>
      <c r="M23" s="287"/>
      <c r="N23" s="287"/>
      <c r="O23" s="287"/>
      <c r="P23" s="287"/>
      <c r="Q23" s="287"/>
      <c r="R23" s="287"/>
      <c r="S23" s="287"/>
      <c r="T23" s="287"/>
      <c r="U23" s="287"/>
      <c r="V23" s="287"/>
      <c r="W23" s="287"/>
      <c r="X23" s="287"/>
    </row>
    <row r="24" spans="1:24" s="3" customFormat="1" ht="27.75" customHeight="1" x14ac:dyDescent="0.25">
      <c r="A24" s="43"/>
      <c r="B24" s="367" t="s">
        <v>430</v>
      </c>
      <c r="C24" s="367"/>
      <c r="D24" s="367"/>
      <c r="E24" s="367"/>
      <c r="F24" s="96" t="str">
        <f>IF($E$5="Cost", SUM(E10:E21), "n/a")</f>
        <v>n/a</v>
      </c>
      <c r="G24" s="287"/>
      <c r="H24" s="287"/>
      <c r="I24" s="77"/>
      <c r="J24" s="1"/>
      <c r="K24" s="4"/>
      <c r="L24" s="287"/>
      <c r="M24" s="287"/>
      <c r="N24" s="287"/>
      <c r="O24" s="287"/>
      <c r="P24" s="287"/>
      <c r="Q24" s="287"/>
      <c r="R24" s="287"/>
      <c r="S24" s="287"/>
      <c r="T24" s="287"/>
      <c r="U24" s="287"/>
      <c r="V24" s="287"/>
      <c r="W24" s="287"/>
      <c r="X24" s="287"/>
    </row>
    <row r="25" spans="1:24" s="3" customFormat="1" ht="42" customHeight="1" x14ac:dyDescent="0.25">
      <c r="A25" s="43"/>
      <c r="B25" s="366" t="s">
        <v>431</v>
      </c>
      <c r="C25" s="366"/>
      <c r="D25" s="366"/>
      <c r="E25" s="366"/>
      <c r="F25" s="96" t="str">
        <f>IF($E$5="cost",SUMIFS(E10:E21,G10:G21,"&lt;&gt;Does not meet criteria",G10:G21,"&lt;&gt;"),"n/a")</f>
        <v>n/a</v>
      </c>
      <c r="G25" s="287"/>
      <c r="H25" s="287"/>
      <c r="I25" s="77"/>
      <c r="J25" s="1"/>
      <c r="K25" s="4"/>
      <c r="L25" s="287"/>
      <c r="M25" s="287"/>
      <c r="N25" s="287"/>
      <c r="O25" s="287"/>
      <c r="P25" s="287"/>
      <c r="Q25" s="287"/>
      <c r="R25" s="287"/>
      <c r="S25" s="287"/>
      <c r="T25" s="287"/>
      <c r="U25" s="287"/>
      <c r="V25" s="287"/>
      <c r="W25" s="287"/>
      <c r="X25" s="287"/>
    </row>
    <row r="26" spans="1:24" s="3" customFormat="1" ht="45" customHeight="1" x14ac:dyDescent="0.25">
      <c r="A26" s="43"/>
      <c r="B26" s="366" t="s">
        <v>432</v>
      </c>
      <c r="C26" s="366"/>
      <c r="D26" s="366"/>
      <c r="E26" s="366"/>
      <c r="F26" s="141" t="str">
        <f>IF($E$5="Cost",IFERROR($F25/$F24,0),"n/a")</f>
        <v>n/a</v>
      </c>
      <c r="G26" s="287"/>
      <c r="H26" s="287"/>
      <c r="I26"/>
      <c r="J26"/>
      <c r="K26" s="4"/>
      <c r="L26" s="287"/>
      <c r="M26" s="287"/>
      <c r="N26" s="287"/>
      <c r="O26" s="287"/>
      <c r="P26" s="287"/>
      <c r="Q26" s="287"/>
      <c r="R26" s="287"/>
      <c r="S26" s="287"/>
      <c r="T26" s="287"/>
      <c r="U26" s="287"/>
      <c r="V26" s="287"/>
      <c r="W26" s="287"/>
      <c r="X26" s="287"/>
    </row>
    <row r="27" spans="1:24" s="3" customFormat="1" ht="21" customHeight="1" x14ac:dyDescent="0.25">
      <c r="A27" s="43"/>
      <c r="B27" s="82"/>
      <c r="C27" s="82"/>
      <c r="D27" s="82"/>
      <c r="E27" s="82"/>
      <c r="F27" s="17"/>
      <c r="G27" s="287"/>
      <c r="H27" s="287"/>
      <c r="I27"/>
      <c r="J27"/>
      <c r="K27" s="4"/>
      <c r="L27" s="287"/>
      <c r="M27" s="287"/>
      <c r="N27" s="287"/>
      <c r="O27" s="287"/>
      <c r="P27" s="287"/>
      <c r="Q27" s="287"/>
      <c r="R27" s="287"/>
      <c r="S27" s="287"/>
      <c r="T27" s="287"/>
      <c r="U27" s="287"/>
      <c r="V27" s="287"/>
      <c r="W27" s="287"/>
      <c r="X27" s="287"/>
    </row>
    <row r="28" spans="1:24" s="3" customFormat="1" ht="22.5" customHeight="1" x14ac:dyDescent="0.25">
      <c r="A28" s="43"/>
      <c r="B28" s="367" t="str">
        <f>"Total surface area of composite wood products" &amp; IF(Instructions!$H$10="IP Units", " (sq ft)", IF(Instructions!$H$10="SI Units"," (sq m)"))</f>
        <v>Total surface area of composite wood products (sq ft)</v>
      </c>
      <c r="C28" s="367"/>
      <c r="D28" s="367"/>
      <c r="E28" s="367"/>
      <c r="F28" s="96">
        <f>IF($E$5="Surface area", SUM(F10:F21), "n/a")</f>
        <v>0</v>
      </c>
      <c r="G28" s="287"/>
      <c r="H28" s="287"/>
      <c r="I28"/>
      <c r="J28"/>
      <c r="K28" s="4"/>
      <c r="L28" s="287"/>
      <c r="M28" s="287"/>
      <c r="N28" s="287"/>
      <c r="O28" s="287"/>
      <c r="P28" s="287"/>
      <c r="Q28" s="287"/>
      <c r="R28" s="287"/>
      <c r="S28" s="287"/>
      <c r="T28" s="287"/>
      <c r="U28" s="287"/>
      <c r="V28" s="287"/>
      <c r="W28" s="287"/>
      <c r="X28" s="287"/>
    </row>
    <row r="29" spans="1:24" s="3" customFormat="1" ht="36.75" customHeight="1" x14ac:dyDescent="0.25">
      <c r="A29" s="43"/>
      <c r="B29" s="366"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C29" s="366"/>
      <c r="D29" s="366"/>
      <c r="E29" s="366"/>
      <c r="F29" s="96">
        <f>IF($E$5="Cost","n/a",SUMIFS(F10:F21,G10:G21,"&lt;&gt;Does not meet criteria",G10:G21,"&lt;&gt;"))</f>
        <v>0</v>
      </c>
      <c r="G29" s="287"/>
      <c r="H29" s="287"/>
      <c r="I29"/>
      <c r="J29"/>
      <c r="K29" s="4"/>
      <c r="L29" s="287"/>
      <c r="M29" s="287"/>
      <c r="N29" s="287"/>
      <c r="O29" s="287"/>
      <c r="P29" s="287"/>
      <c r="Q29" s="287"/>
      <c r="R29" s="287"/>
      <c r="S29" s="287"/>
      <c r="T29" s="287"/>
      <c r="U29" s="287"/>
      <c r="V29" s="287"/>
      <c r="W29" s="287"/>
      <c r="X29" s="287"/>
    </row>
    <row r="30" spans="1:24" s="3" customFormat="1" ht="39" customHeight="1" x14ac:dyDescent="0.25">
      <c r="A30" s="43"/>
      <c r="B30" s="366" t="s">
        <v>433</v>
      </c>
      <c r="C30" s="366"/>
      <c r="D30" s="366"/>
      <c r="E30" s="366"/>
      <c r="F30" s="141">
        <f>IF($E$5="Surface area",IFERROR($F29/$F28,0),"n/a")</f>
        <v>0</v>
      </c>
      <c r="G30" s="287"/>
      <c r="H30" s="287"/>
      <c r="I30"/>
      <c r="J30"/>
      <c r="K30" s="4"/>
      <c r="L30" s="287"/>
      <c r="M30" s="287"/>
      <c r="N30" s="287"/>
      <c r="O30" s="287"/>
      <c r="P30" s="287"/>
      <c r="Q30" s="287"/>
      <c r="R30" s="287"/>
      <c r="S30" s="287"/>
      <c r="T30" s="287"/>
      <c r="U30" s="287"/>
      <c r="V30" s="287"/>
      <c r="W30" s="287"/>
      <c r="X30" s="287"/>
    </row>
    <row r="31" spans="1:24" s="3" customFormat="1" ht="21" customHeight="1" x14ac:dyDescent="0.25">
      <c r="A31" s="43"/>
      <c r="B31" s="17"/>
      <c r="C31" s="17"/>
      <c r="D31" s="17"/>
      <c r="E31" s="17"/>
      <c r="F31" s="17"/>
      <c r="G31" s="287"/>
      <c r="H31" s="287"/>
      <c r="I31"/>
      <c r="J31"/>
      <c r="K31" s="4"/>
      <c r="L31" s="287"/>
      <c r="M31" s="287"/>
      <c r="N31" s="287"/>
      <c r="O31" s="287"/>
      <c r="P31" s="287"/>
      <c r="Q31" s="287"/>
      <c r="R31" s="287"/>
      <c r="S31" s="287"/>
      <c r="T31" s="287"/>
      <c r="U31" s="287"/>
      <c r="V31" s="287"/>
      <c r="W31" s="287"/>
      <c r="X31" s="287"/>
    </row>
    <row r="32" spans="1:24" s="58" customFormat="1" ht="32.25" customHeight="1" x14ac:dyDescent="0.25">
      <c r="I32"/>
      <c r="J32"/>
      <c r="K32" s="79"/>
    </row>
    <row r="33" spans="2:24" s="58" customFormat="1" ht="37.5" customHeight="1" x14ac:dyDescent="0.25">
      <c r="D33" s="80"/>
      <c r="E33" s="80"/>
      <c r="I33"/>
      <c r="J33"/>
      <c r="K33" s="79"/>
    </row>
    <row r="34" spans="2:24" s="58" customFormat="1" ht="39" customHeight="1" x14ac:dyDescent="0.25">
      <c r="I34"/>
      <c r="J34"/>
      <c r="K34" s="79"/>
    </row>
    <row r="35" spans="2:24" s="17" customFormat="1" ht="21" customHeight="1" x14ac:dyDescent="0.25">
      <c r="I35"/>
      <c r="J35"/>
      <c r="K35" s="79"/>
    </row>
    <row r="36" spans="2:24" s="17" customFormat="1" ht="21" customHeight="1" x14ac:dyDescent="0.25">
      <c r="I36"/>
      <c r="J36"/>
      <c r="K36" s="79"/>
    </row>
    <row r="37" spans="2:24" s="17" customFormat="1" ht="21" customHeight="1" x14ac:dyDescent="0.25">
      <c r="I37"/>
      <c r="J37"/>
      <c r="K37" s="79"/>
    </row>
    <row r="38" spans="2:24" s="17" customFormat="1" ht="21" customHeight="1" x14ac:dyDescent="0.25">
      <c r="I38"/>
      <c r="J38"/>
      <c r="K38" s="79"/>
    </row>
    <row r="39" spans="2:24" s="58" customFormat="1" ht="21" customHeight="1" x14ac:dyDescent="0.25">
      <c r="I39"/>
      <c r="J39"/>
      <c r="K39" s="79"/>
    </row>
    <row r="40" spans="2:24" ht="21" customHeight="1" x14ac:dyDescent="0.25">
      <c r="B40" s="73"/>
      <c r="C40" s="73"/>
      <c r="D40" s="73"/>
      <c r="E40" s="73"/>
      <c r="F40" s="73"/>
      <c r="G40" s="73"/>
      <c r="H40" s="73"/>
      <c r="I40"/>
      <c r="J40"/>
      <c r="L40" s="73"/>
      <c r="M40" s="73"/>
      <c r="N40" s="73"/>
      <c r="O40" s="73"/>
      <c r="P40" s="73"/>
      <c r="Q40" s="73"/>
      <c r="R40" s="73"/>
      <c r="S40" s="73"/>
      <c r="T40" s="73"/>
      <c r="U40" s="73"/>
      <c r="V40" s="73"/>
      <c r="W40" s="73"/>
      <c r="X40" s="73"/>
    </row>
    <row r="41" spans="2:24" ht="21" customHeight="1" x14ac:dyDescent="0.25">
      <c r="B41" s="73"/>
      <c r="C41" s="73"/>
      <c r="D41" s="73"/>
      <c r="E41" s="73"/>
      <c r="F41" s="73"/>
      <c r="G41" s="73"/>
      <c r="H41" s="73"/>
      <c r="I41"/>
      <c r="J41"/>
      <c r="L41" s="73"/>
      <c r="M41" s="73"/>
      <c r="N41" s="73"/>
      <c r="O41" s="73"/>
      <c r="P41" s="73"/>
      <c r="Q41" s="73"/>
      <c r="R41" s="73"/>
      <c r="S41" s="73"/>
      <c r="T41" s="73"/>
      <c r="U41" s="73"/>
      <c r="V41" s="73"/>
      <c r="W41" s="73"/>
      <c r="X41" s="73"/>
    </row>
    <row r="42" spans="2:24" x14ac:dyDescent="0.25">
      <c r="B42" s="73"/>
      <c r="C42" s="73"/>
      <c r="D42" s="73"/>
      <c r="E42" s="73"/>
      <c r="F42" s="73"/>
      <c r="G42" s="73"/>
      <c r="H42" s="73"/>
      <c r="I42"/>
      <c r="J42"/>
      <c r="L42" s="73"/>
      <c r="M42" s="73"/>
      <c r="N42" s="73"/>
      <c r="O42" s="73"/>
      <c r="P42" s="73"/>
      <c r="Q42" s="73"/>
      <c r="R42" s="73"/>
      <c r="S42" s="73"/>
      <c r="T42" s="73"/>
      <c r="U42" s="73"/>
      <c r="V42" s="73"/>
      <c r="W42" s="73"/>
      <c r="X42" s="73"/>
    </row>
  </sheetData>
  <sheetProtection algorithmName="SHA-512" hashValue="Co/NrDoGVjp7bOkyiwW18WHPLa/4kJhi21eY7wTUgAPZl86g1sX6EjZ0fGIiaWsK4HE0c+G6CU/TdCpNEcR1NQ==" saltValue="IjsDaX+JuBEJ9udQEfdVAA==" spinCount="100000" sheet="1" objects="1" scenarios="1" formatColumns="0" formatRows="0"/>
  <mergeCells count="19">
    <mergeCell ref="Q8:Q9"/>
    <mergeCell ref="B26:E26"/>
    <mergeCell ref="M8:M9"/>
    <mergeCell ref="O8:O9"/>
    <mergeCell ref="P8:P9"/>
    <mergeCell ref="B30:E30"/>
    <mergeCell ref="B25:E25"/>
    <mergeCell ref="B29:E29"/>
    <mergeCell ref="J8:J9"/>
    <mergeCell ref="L8:L9"/>
    <mergeCell ref="B8:B9"/>
    <mergeCell ref="C8:C9"/>
    <mergeCell ref="D8:D9"/>
    <mergeCell ref="E8:E9"/>
    <mergeCell ref="F8:F9"/>
    <mergeCell ref="G8:G9"/>
    <mergeCell ref="B24:E24"/>
    <mergeCell ref="B28:E28"/>
    <mergeCell ref="I8:I9"/>
  </mergeCells>
  <conditionalFormatting sqref="E10:E21">
    <cfRule type="expression" dxfId="2" priority="3">
      <formula>$E$5="Surface area"</formula>
    </cfRule>
  </conditionalFormatting>
  <conditionalFormatting sqref="F10:F21">
    <cfRule type="expression" dxfId="1" priority="2">
      <formula>$E$5="Cost"</formula>
    </cfRule>
  </conditionalFormatting>
  <conditionalFormatting sqref="H10:H21">
    <cfRule type="expression" dxfId="0" priority="1">
      <formula>OR($G10="salvaged and reused materials", $G10="Does not meet criteria")</formula>
    </cfRule>
  </conditionalFormatting>
  <dataValidations count="4">
    <dataValidation type="list" allowBlank="1" sqref="E5" xr:uid="{00000000-0002-0000-0800-000000000000}">
      <formula1>"Cost, Surface area"</formula1>
    </dataValidation>
    <dataValidation type="custom" allowBlank="1" showInputMessage="1" showErrorMessage="1" sqref="E10:E21" xr:uid="{00000000-0002-0000-0800-000001000000}">
      <formula1>AND($E$5="Cost", ISNUMBER(E10))</formula1>
    </dataValidation>
    <dataValidation type="custom" allowBlank="1" showInputMessage="1" showErrorMessage="1" sqref="F10:F21" xr:uid="{00000000-0002-0000-0800-000002000000}">
      <formula1>AND($E$5="Surface area", ISNUMBER(F10))</formula1>
    </dataValidation>
    <dataValidation type="list" allowBlank="1" showInputMessage="1" showErrorMessage="1" sqref="G10:G21" xr:uid="{00000000-0002-0000-0800-000003000000}">
      <formula1>"formaldehyde emissions evaluation, salvaged and reused materials, 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ddA">
                <anchor moveWithCells="1">
                  <from>
                    <xdr:col>1</xdr:col>
                    <xdr:colOff>9525</xdr:colOff>
                    <xdr:row>31</xdr:row>
                    <xdr:rowOff>180975</xdr:rowOff>
                  </from>
                  <to>
                    <xdr:col>1</xdr:col>
                    <xdr:colOff>1400175</xdr:colOff>
                    <xdr:row>32</xdr:row>
                    <xdr:rowOff>28575</xdr:rowOff>
                  </to>
                </anchor>
              </controlPr>
            </control>
          </mc:Choice>
        </mc:AlternateContent>
        <mc:AlternateContent xmlns:mc="http://schemas.openxmlformats.org/markup-compatibility/2006">
          <mc:Choice Requires="x14">
            <control shapeId="10242" r:id="rId5" name="Button 2">
              <controlPr defaultSize="0" print="0" autoFill="0" autoPict="0" macro="[0]!DeleteRow">
                <anchor moveWithCells="1">
                  <from>
                    <xdr:col>3</xdr:col>
                    <xdr:colOff>838200</xdr:colOff>
                    <xdr:row>31</xdr:row>
                    <xdr:rowOff>180975</xdr:rowOff>
                  </from>
                  <to>
                    <xdr:col>4</xdr:col>
                    <xdr:colOff>1209675</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800-000004000000}">
          <x14:formula1>
            <xm:f>OFFSET(Instructions!$K$360,1,MATCH($G10,Instructions!$K$360:$M$360,0)-1,COUNTA(OFFSET(Instructions!$K$360,1,MATCH($G10,Instructions!$K$360:$M$360,0)-1,12,1)),1)</xm:f>
          </x14:formula1>
          <xm:sqref>H10:H21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B1:O113"/>
  <sheetViews>
    <sheetView showGridLines="0" zoomScale="90" zoomScaleNormal="90" zoomScalePageLayoutView="80" workbookViewId="0">
      <selection activeCell="G10" sqref="G10:G12"/>
    </sheetView>
  </sheetViews>
  <sheetFormatPr defaultColWidth="8.85546875" defaultRowHeight="12.75" x14ac:dyDescent="0.2"/>
  <cols>
    <col min="1" max="1" width="2.42578125" style="10" customWidth="1"/>
    <col min="2" max="2" width="2.7109375" style="10" customWidth="1"/>
    <col min="3" max="3" width="44.85546875" style="10" customWidth="1"/>
    <col min="4" max="4" width="18.85546875" style="10" customWidth="1"/>
    <col min="5" max="5" width="22.5703125" style="10" customWidth="1"/>
    <col min="6" max="6" width="23.28515625" style="10" customWidth="1"/>
    <col min="7" max="8" width="14.7109375" style="10" customWidth="1"/>
    <col min="9" max="10" width="2.7109375" style="10" customWidth="1"/>
    <col min="11" max="18" width="14.7109375" style="10" customWidth="1"/>
    <col min="19" max="16384" width="8.85546875" style="10"/>
  </cols>
  <sheetData>
    <row r="1" spans="2:12" s="18" customFormat="1" ht="15" customHeight="1" x14ac:dyDescent="0.25"/>
    <row r="2" spans="2:12" s="18" customFormat="1" ht="15" customHeight="1" x14ac:dyDescent="0.25">
      <c r="B2" s="19"/>
      <c r="C2" s="20"/>
      <c r="D2" s="20"/>
      <c r="E2" s="20"/>
      <c r="F2" s="20"/>
      <c r="G2" s="20"/>
      <c r="H2" s="20"/>
      <c r="I2" s="21"/>
    </row>
    <row r="3" spans="2:12" s="18" customFormat="1" ht="24.75" customHeight="1" x14ac:dyDescent="0.25">
      <c r="B3" s="22"/>
      <c r="C3" s="23" t="s">
        <v>434</v>
      </c>
      <c r="D3" s="24"/>
      <c r="E3" s="24"/>
      <c r="F3" s="24"/>
      <c r="G3" s="25"/>
      <c r="H3" s="25"/>
      <c r="I3" s="26"/>
      <c r="J3" s="27"/>
    </row>
    <row r="4" spans="2:12" s="18" customFormat="1" ht="15" customHeight="1" x14ac:dyDescent="0.25">
      <c r="B4" s="22"/>
      <c r="C4" s="28" t="s">
        <v>435</v>
      </c>
      <c r="D4" s="24"/>
      <c r="E4" s="24"/>
      <c r="F4" s="24"/>
      <c r="G4" s="24"/>
      <c r="H4" s="24"/>
      <c r="I4" s="29"/>
    </row>
    <row r="5" spans="2:12" ht="25.5" customHeight="1" x14ac:dyDescent="0.2">
      <c r="B5" s="22"/>
      <c r="C5" s="294"/>
      <c r="D5" s="294"/>
      <c r="E5" s="294"/>
      <c r="F5" s="294"/>
      <c r="G5" s="30"/>
      <c r="H5" s="30"/>
      <c r="I5" s="31"/>
      <c r="J5" s="32"/>
      <c r="K5" s="295"/>
      <c r="L5" s="295"/>
    </row>
    <row r="6" spans="2:12" s="34" customFormat="1" ht="57" customHeight="1" x14ac:dyDescent="0.25">
      <c r="B6" s="22"/>
      <c r="C6" s="131" t="s">
        <v>436</v>
      </c>
      <c r="D6" s="131" t="s">
        <v>437</v>
      </c>
      <c r="E6" s="131" t="s">
        <v>438</v>
      </c>
      <c r="F6" s="131" t="s">
        <v>439</v>
      </c>
      <c r="G6" s="131" t="s">
        <v>440</v>
      </c>
      <c r="H6" s="131" t="s">
        <v>441</v>
      </c>
      <c r="I6" s="31"/>
      <c r="J6" s="33"/>
      <c r="K6" s="296"/>
      <c r="L6" s="296"/>
    </row>
    <row r="7" spans="2:12" ht="18" customHeight="1" x14ac:dyDescent="0.2">
      <c r="B7" s="22"/>
      <c r="C7" s="132" t="s">
        <v>442</v>
      </c>
      <c r="D7" s="137"/>
      <c r="E7" s="138"/>
      <c r="F7" s="133"/>
      <c r="G7" s="380" t="str">
        <f>IF(AND(D8&gt;=0.75,D9&gt;=1, D8&lt;&gt;"",D9&lt;&gt;""),"Yes","No")</f>
        <v>No</v>
      </c>
      <c r="H7" s="380" t="str">
        <f>IF(AND(D8&gt;=0.9,D9&gt;=1),"Yes","No")</f>
        <v>No</v>
      </c>
      <c r="I7" s="31"/>
      <c r="J7" s="35"/>
      <c r="K7" s="295"/>
      <c r="L7" s="295"/>
    </row>
    <row r="8" spans="2:12" ht="18" customHeight="1" x14ac:dyDescent="0.2">
      <c r="B8" s="22"/>
      <c r="C8" s="132" t="s">
        <v>443</v>
      </c>
      <c r="D8" s="137">
        <f>IF(ISBLANK('Paints and coatings'!E5),"",IF(E8="surface area",G33,G27))</f>
        <v>0</v>
      </c>
      <c r="E8" s="139" t="str">
        <f>IF(ISBLANK('Paints and coatings'!E5), "",'Paints and coatings'!E5)</f>
        <v>volume</v>
      </c>
      <c r="F8" s="133">
        <v>0.75</v>
      </c>
      <c r="G8" s="380"/>
      <c r="H8" s="380"/>
      <c r="I8" s="31"/>
      <c r="J8" s="35"/>
      <c r="K8" s="295"/>
      <c r="L8" s="295"/>
    </row>
    <row r="9" spans="2:12" ht="18" customHeight="1" x14ac:dyDescent="0.2">
      <c r="B9" s="22"/>
      <c r="C9" s="132" t="s">
        <v>444</v>
      </c>
      <c r="D9" s="137">
        <f>IF(ISBLANK('Paints and coatings'!E5)," ",IF(E9="surface area",G35,G29))</f>
        <v>0</v>
      </c>
      <c r="E9" s="139" t="str">
        <f>IF(ISBLANK('Paints and coatings'!E7),"",IF('Paints and coatings'!E7="Yes","by volume via VOC budget",'Paints and coatings'!E5))</f>
        <v>by volume via VOC budget</v>
      </c>
      <c r="F9" s="133">
        <v>1</v>
      </c>
      <c r="G9" s="380"/>
      <c r="H9" s="380"/>
      <c r="I9" s="31"/>
      <c r="J9" s="35"/>
      <c r="K9" s="295"/>
      <c r="L9" s="295"/>
    </row>
    <row r="10" spans="2:12" ht="18" customHeight="1" x14ac:dyDescent="0.2">
      <c r="B10" s="22"/>
      <c r="C10" s="132" t="s">
        <v>445</v>
      </c>
      <c r="D10" s="137"/>
      <c r="E10" s="139"/>
      <c r="F10" s="133"/>
      <c r="G10" s="380" t="str">
        <f>IF(AND(D11&gt;=0.75,D12&gt;=1, D11&lt;&gt;"",D12&lt;&gt;""),"Yes","No")</f>
        <v>No</v>
      </c>
      <c r="H10" s="380" t="str">
        <f>IF(AND(D11&gt;=0.9,D12&gt;=1,D11&lt;&gt;"",D12&lt;&gt;""),"Yes","No")</f>
        <v>No</v>
      </c>
      <c r="I10" s="31"/>
      <c r="J10" s="35"/>
      <c r="K10" s="295"/>
      <c r="L10" s="295"/>
    </row>
    <row r="11" spans="2:12" ht="18" customHeight="1" x14ac:dyDescent="0.2">
      <c r="B11" s="22"/>
      <c r="C11" s="132" t="s">
        <v>443</v>
      </c>
      <c r="D11" s="137">
        <f>IF(ISBLANK('Adhesives and sealants'!E5),"",IF(E11="surface area",G48,G42))</f>
        <v>0</v>
      </c>
      <c r="E11" s="139" t="str">
        <f>IF(ISBLANK('Adhesives and sealants'!E5),"",'Adhesives and sealants'!E5)</f>
        <v>volume</v>
      </c>
      <c r="F11" s="133">
        <v>0.75</v>
      </c>
      <c r="G11" s="380"/>
      <c r="H11" s="380"/>
      <c r="I11" s="31"/>
      <c r="J11" s="35"/>
      <c r="K11" s="295"/>
      <c r="L11" s="295"/>
    </row>
    <row r="12" spans="2:12" ht="18" customHeight="1" x14ac:dyDescent="0.2">
      <c r="B12" s="22"/>
      <c r="C12" s="132" t="s">
        <v>444</v>
      </c>
      <c r="D12" s="137">
        <f>IF(ISBLANK('Adhesives and sealants'!E5)," ",IF(E12="surface area",G50,G44))</f>
        <v>0</v>
      </c>
      <c r="E12" s="139" t="str">
        <f>IF(ISBLANK('Adhesives and sealants'!E7),"",IF('Adhesives and sealants'!E7="Yes","by volume via VOC budget",'Adhesives and sealants'!E5))</f>
        <v>by volume via VOC budget</v>
      </c>
      <c r="F12" s="133">
        <v>1</v>
      </c>
      <c r="G12" s="380"/>
      <c r="H12" s="380"/>
      <c r="I12" s="31"/>
      <c r="J12" s="35"/>
      <c r="K12" s="295"/>
      <c r="L12" s="295"/>
    </row>
    <row r="13" spans="2:12" ht="18" customHeight="1" x14ac:dyDescent="0.2">
      <c r="B13" s="22"/>
      <c r="C13" s="132" t="s">
        <v>390</v>
      </c>
      <c r="D13" s="137">
        <f>IF(ISBLANK(Flooring!E5),"",IF(E13="surface area",G62,G58))</f>
        <v>0</v>
      </c>
      <c r="E13" s="139" t="str">
        <f>IF(ISBLANK(Flooring!E5),"",Flooring!E5)</f>
        <v>Cost</v>
      </c>
      <c r="F13" s="134">
        <v>0.9</v>
      </c>
      <c r="G13" s="135" t="str">
        <f>IF(AND(D13&gt;=0.9, D13&lt;&gt;""),"Yes","No")</f>
        <v>No</v>
      </c>
      <c r="H13" s="135" t="str">
        <f>IF(AND(D13&gt;=0.9, D13&lt;&gt;""),"Yes","No")</f>
        <v>No</v>
      </c>
      <c r="I13" s="31"/>
      <c r="J13" s="35"/>
      <c r="K13" s="295"/>
      <c r="L13" s="295"/>
    </row>
    <row r="14" spans="2:12" ht="18" customHeight="1" x14ac:dyDescent="0.2">
      <c r="B14" s="22"/>
      <c r="C14" s="132" t="s">
        <v>401</v>
      </c>
      <c r="D14" s="137">
        <f>IF(ISBLANK('Wall panels'!E5),"",IF(E14="surface area",G72,G68))</f>
        <v>0</v>
      </c>
      <c r="E14" s="139" t="str">
        <f>IF(ISBLANK('Wall panels'!E5), "",'Wall panels'!E5)</f>
        <v>Cost</v>
      </c>
      <c r="F14" s="134">
        <v>0.75</v>
      </c>
      <c r="G14" s="135" t="str">
        <f>IF(AND(D14&gt;=0.75,D14&lt;&gt;""),"Yes","No")</f>
        <v>No</v>
      </c>
      <c r="H14" s="135" t="str">
        <f>IF(AND(D14&gt;=0.9, D14&lt;&gt;""),"Yes","No")</f>
        <v>No</v>
      </c>
      <c r="I14" s="31"/>
      <c r="J14" s="35"/>
      <c r="K14" s="295"/>
      <c r="L14" s="295"/>
    </row>
    <row r="15" spans="2:12" ht="18" customHeight="1" x14ac:dyDescent="0.2">
      <c r="B15" s="22"/>
      <c r="C15" s="132" t="s">
        <v>407</v>
      </c>
      <c r="D15" s="137">
        <f>IF(ISBLANK(Ceilings!E5),"",IF(E15="surface area",G82,G78))</f>
        <v>0</v>
      </c>
      <c r="E15" s="139" t="str">
        <f>IF(ISBLANK(Ceilings!E5), "",Ceilings!E5)</f>
        <v>Cost</v>
      </c>
      <c r="F15" s="134">
        <v>0.9</v>
      </c>
      <c r="G15" s="135" t="str">
        <f>IF(AND(D15&gt;=0.9,D15&lt;&gt;""),"Yes","No")</f>
        <v>No</v>
      </c>
      <c r="H15" s="135" t="str">
        <f>IF(AND(D15&gt;=0.9, D15&lt;&gt;""),"Yes","No")</f>
        <v>No</v>
      </c>
      <c r="I15" s="31"/>
      <c r="J15" s="35"/>
      <c r="K15" s="295"/>
      <c r="L15" s="295"/>
    </row>
    <row r="16" spans="2:12" ht="18" customHeight="1" x14ac:dyDescent="0.2">
      <c r="B16" s="22"/>
      <c r="C16" s="132" t="s">
        <v>412</v>
      </c>
      <c r="D16" s="137">
        <f>IF(ISBLANK(Insulation!E5),"",IF(E16="surface area",G93,G89))</f>
        <v>0</v>
      </c>
      <c r="E16" s="139" t="str">
        <f>IF(ISBLANK(Insulation!E5),"",Insulation!E5)</f>
        <v>Cost</v>
      </c>
      <c r="F16" s="134">
        <v>0.75</v>
      </c>
      <c r="G16" s="135" t="str">
        <f>IF(AND(D16&gt;=0.75, D16&lt;&gt;""),"Yes","No")</f>
        <v>No</v>
      </c>
      <c r="H16" s="135" t="str">
        <f>IF(AND(D16&gt;=0.9, D16&lt;&gt;""),"Yes","No")</f>
        <v>No</v>
      </c>
      <c r="I16" s="31"/>
      <c r="J16" s="35"/>
      <c r="K16" s="295"/>
      <c r="L16" s="295"/>
    </row>
    <row r="17" spans="2:15" ht="18" customHeight="1" x14ac:dyDescent="0.2">
      <c r="B17" s="22"/>
      <c r="C17" s="132" t="s">
        <v>419</v>
      </c>
      <c r="D17" s="137">
        <f>G100</f>
        <v>0</v>
      </c>
      <c r="E17" s="139" t="s">
        <v>402</v>
      </c>
      <c r="F17" s="134">
        <v>0.75</v>
      </c>
      <c r="G17" s="135" t="str">
        <f>IF(D17&gt;=0.75,"Yes","No")</f>
        <v>No</v>
      </c>
      <c r="H17" s="135" t="str">
        <f>IF(D17&gt;=0.9,"Yes","No")</f>
        <v>No</v>
      </c>
      <c r="I17" s="31"/>
      <c r="J17" s="35"/>
      <c r="K17" s="295"/>
      <c r="L17" s="295"/>
      <c r="M17" s="295"/>
      <c r="N17" s="295"/>
      <c r="O17" s="295"/>
    </row>
    <row r="18" spans="2:15" ht="18" customHeight="1" x14ac:dyDescent="0.2">
      <c r="B18" s="22"/>
      <c r="C18" s="132" t="s">
        <v>427</v>
      </c>
      <c r="D18" s="137">
        <f>IF(ISBLANK('Composite wood'!E5),"",IF(E18="surface area",G111,G107))</f>
        <v>0</v>
      </c>
      <c r="E18" s="139" t="str">
        <f>IF(ISBLANK('Composite wood'!E5),"",'Composite wood'!E5)</f>
        <v>Surface area</v>
      </c>
      <c r="F18" s="134">
        <v>0.75</v>
      </c>
      <c r="G18" s="135" t="str">
        <f>IF(AND(D18&gt;=0.75, D18&lt;&gt;""),"Yes","No")</f>
        <v>No</v>
      </c>
      <c r="H18" s="135" t="str">
        <f>IF(AND(D18&gt;=0.9, D18&lt;&gt;""),"Yes","No")</f>
        <v>No</v>
      </c>
      <c r="I18" s="31"/>
      <c r="J18" s="32"/>
      <c r="K18" s="295"/>
      <c r="L18" s="295"/>
      <c r="M18" s="295"/>
      <c r="N18" s="295"/>
      <c r="O18" s="295"/>
    </row>
    <row r="19" spans="2:15" s="18" customFormat="1" ht="25.5" customHeight="1" x14ac:dyDescent="0.25">
      <c r="B19" s="22"/>
      <c r="C19" s="36"/>
      <c r="D19" s="37"/>
      <c r="E19" s="37"/>
      <c r="F19" s="37"/>
      <c r="G19" s="63"/>
      <c r="H19" s="63"/>
      <c r="I19" s="29"/>
    </row>
    <row r="20" spans="2:15" s="18" customFormat="1" ht="15" customHeight="1" x14ac:dyDescent="0.25">
      <c r="B20" s="22"/>
      <c r="C20" s="37" t="s">
        <v>446</v>
      </c>
      <c r="D20" s="25"/>
      <c r="E20" s="25"/>
      <c r="F20" s="25"/>
      <c r="G20" s="136">
        <f>COUNTIF(G7:G18,"Yes")</f>
        <v>0</v>
      </c>
      <c r="H20" s="136">
        <f>COUNTIF(H7:H18,"Yes")</f>
        <v>0</v>
      </c>
      <c r="I20" s="31"/>
    </row>
    <row r="21" spans="2:15" s="18" customFormat="1" ht="18" customHeight="1" x14ac:dyDescent="0.2">
      <c r="B21" s="38"/>
      <c r="C21" s="39"/>
      <c r="D21" s="40"/>
      <c r="E21" s="40"/>
      <c r="F21" s="40"/>
      <c r="G21" s="64"/>
      <c r="H21" s="64"/>
      <c r="I21" s="41"/>
      <c r="J21" s="42"/>
    </row>
    <row r="22" spans="2:15" s="18" customFormat="1" ht="18" customHeight="1" x14ac:dyDescent="0.2">
      <c r="B22" s="22"/>
      <c r="C22" s="24"/>
      <c r="D22" s="107"/>
      <c r="E22" s="107"/>
      <c r="F22" s="107"/>
      <c r="G22" s="63"/>
      <c r="H22" s="63"/>
      <c r="I22" s="29"/>
      <c r="J22" s="42"/>
    </row>
    <row r="23" spans="2:15" ht="31.5" customHeight="1" x14ac:dyDescent="0.2">
      <c r="B23" s="297"/>
      <c r="C23" s="105" t="s">
        <v>447</v>
      </c>
      <c r="D23" s="298"/>
      <c r="E23" s="298"/>
      <c r="F23" s="298"/>
      <c r="G23" s="65"/>
      <c r="H23" s="65"/>
      <c r="I23" s="299"/>
      <c r="J23" s="300"/>
      <c r="K23" s="295"/>
      <c r="L23" s="295"/>
      <c r="M23" s="300"/>
      <c r="N23" s="295"/>
      <c r="O23" s="300"/>
    </row>
    <row r="24" spans="2:15" s="11" customFormat="1" ht="21" customHeight="1" x14ac:dyDescent="0.25">
      <c r="B24" s="301"/>
      <c r="C24" s="12" t="s">
        <v>336</v>
      </c>
      <c r="D24" s="302"/>
      <c r="E24" s="302"/>
      <c r="F24" s="302"/>
      <c r="G24" s="66"/>
      <c r="H24" s="66"/>
      <c r="I24" s="303"/>
      <c r="J24" s="304"/>
      <c r="K24" s="304"/>
      <c r="L24" s="304"/>
      <c r="M24" s="304"/>
      <c r="N24" s="304"/>
      <c r="O24" s="304"/>
    </row>
    <row r="25" spans="2:15" s="11" customFormat="1" ht="21" customHeight="1" x14ac:dyDescent="0.25">
      <c r="B25" s="301"/>
      <c r="C25" s="355" t="s">
        <v>373</v>
      </c>
      <c r="D25" s="356"/>
      <c r="E25" s="356"/>
      <c r="F25" s="357"/>
      <c r="G25" s="96">
        <f>'Paints and coatings'!F26</f>
        <v>0</v>
      </c>
      <c r="H25" s="66"/>
      <c r="I25" s="303"/>
      <c r="J25" s="304"/>
      <c r="K25" s="304"/>
      <c r="L25" s="304"/>
      <c r="M25" s="304"/>
      <c r="N25" s="304"/>
      <c r="O25" s="304"/>
    </row>
    <row r="26" spans="2:15" s="11" customFormat="1" ht="21" customHeight="1" x14ac:dyDescent="0.25">
      <c r="B26" s="301"/>
      <c r="C26" s="355" t="s">
        <v>375</v>
      </c>
      <c r="D26" s="356"/>
      <c r="E26" s="356"/>
      <c r="F26" s="357"/>
      <c r="G26" s="96">
        <f>'Paints and coatings'!F27</f>
        <v>0</v>
      </c>
      <c r="H26" s="66"/>
      <c r="I26" s="303"/>
      <c r="J26" s="304"/>
      <c r="K26" s="304"/>
      <c r="L26" s="304"/>
      <c r="M26" s="304"/>
      <c r="N26" s="304"/>
      <c r="O26" s="304"/>
    </row>
    <row r="27" spans="2:15" s="11" customFormat="1" ht="21" customHeight="1" x14ac:dyDescent="0.25">
      <c r="B27" s="301"/>
      <c r="C27" s="355" t="s">
        <v>377</v>
      </c>
      <c r="D27" s="356"/>
      <c r="E27" s="356"/>
      <c r="F27" s="357"/>
      <c r="G27" s="141">
        <f>'Paints and coatings'!F28</f>
        <v>0</v>
      </c>
      <c r="H27" s="66"/>
      <c r="I27" s="303"/>
      <c r="J27" s="304"/>
      <c r="K27" s="304"/>
      <c r="L27" s="304"/>
      <c r="M27" s="304"/>
      <c r="N27" s="304"/>
      <c r="O27" s="304"/>
    </row>
    <row r="28" spans="2:15" s="11" customFormat="1" ht="21" customHeight="1" x14ac:dyDescent="0.25">
      <c r="B28" s="301"/>
      <c r="C28" s="355" t="s">
        <v>378</v>
      </c>
      <c r="D28" s="356"/>
      <c r="E28" s="356"/>
      <c r="F28" s="357"/>
      <c r="G28" s="96">
        <f>'Paints and coatings'!F29</f>
        <v>0</v>
      </c>
      <c r="H28" s="66"/>
      <c r="I28" s="303"/>
      <c r="J28" s="304"/>
      <c r="K28" s="304"/>
      <c r="L28" s="304"/>
      <c r="M28" s="304"/>
      <c r="N28" s="304"/>
      <c r="O28" s="304"/>
    </row>
    <row r="29" spans="2:15" s="11" customFormat="1" ht="21" customHeight="1" x14ac:dyDescent="0.25">
      <c r="B29" s="301"/>
      <c r="C29" s="355" t="s">
        <v>379</v>
      </c>
      <c r="D29" s="356"/>
      <c r="E29" s="356"/>
      <c r="F29" s="357"/>
      <c r="G29" s="141">
        <f>'Paints and coatings'!F30</f>
        <v>0</v>
      </c>
      <c r="H29" s="66"/>
      <c r="I29" s="303"/>
      <c r="J29" s="304"/>
      <c r="K29" s="304"/>
      <c r="L29" s="304"/>
      <c r="M29" s="304"/>
      <c r="N29" s="304"/>
      <c r="O29" s="304"/>
    </row>
    <row r="30" spans="2:15" s="11" customFormat="1" ht="21" customHeight="1" x14ac:dyDescent="0.25">
      <c r="B30" s="301"/>
      <c r="C30" s="82"/>
      <c r="D30" s="82"/>
      <c r="E30" s="82"/>
      <c r="F30" s="82"/>
      <c r="G30" s="17"/>
      <c r="H30" s="66"/>
      <c r="I30" s="303"/>
      <c r="J30" s="304"/>
      <c r="K30" s="304"/>
      <c r="L30" s="304"/>
      <c r="M30" s="304"/>
      <c r="N30" s="304"/>
      <c r="O30" s="304"/>
    </row>
    <row r="31" spans="2:15" s="11" customFormat="1" ht="21" customHeight="1" x14ac:dyDescent="0.25">
      <c r="B31" s="301"/>
      <c r="C31" s="355" t="str">
        <f>"Total surface area of paints and coatings" &amp; IF(Instructions!$H$10="IP Units", " (sq ft)", IF(Instructions!$H$10="SI Units"," (sq m)"))</f>
        <v>Total surface area of paints and coatings (sq ft)</v>
      </c>
      <c r="D31" s="356"/>
      <c r="E31" s="356"/>
      <c r="F31" s="357"/>
      <c r="G31" s="96" t="str">
        <f>'Paints and coatings'!F32</f>
        <v>n/a</v>
      </c>
      <c r="H31" s="66"/>
      <c r="I31" s="303"/>
      <c r="J31" s="304"/>
      <c r="K31" s="304"/>
      <c r="L31" s="304"/>
      <c r="M31" s="304"/>
      <c r="N31" s="304"/>
      <c r="O31" s="304"/>
    </row>
    <row r="32" spans="2:15" s="11" customFormat="1" ht="21" customHeight="1" x14ac:dyDescent="0.25">
      <c r="B32" s="301"/>
      <c r="C32" s="355" t="str">
        <f>"Surface area of paints and coatings compliant with VOC emissions evaluation" &amp; IF(Instructions!$H$10="IP Units", " (sq ft)", IF(Instructions!$H$10="SI Units"," (sq m)"))</f>
        <v>Surface area of paints and coatings compliant with VOC emissions evaluation (sq ft)</v>
      </c>
      <c r="D32" s="356"/>
      <c r="E32" s="356"/>
      <c r="F32" s="357"/>
      <c r="G32" s="96" t="str">
        <f>'Paints and coatings'!F33</f>
        <v>n/a</v>
      </c>
      <c r="H32" s="66"/>
      <c r="I32" s="303"/>
      <c r="J32" s="304"/>
      <c r="K32" s="304"/>
      <c r="L32" s="304"/>
      <c r="M32" s="304"/>
      <c r="N32" s="304"/>
      <c r="O32" s="304"/>
    </row>
    <row r="33" spans="2:9" s="11" customFormat="1" ht="21" customHeight="1" x14ac:dyDescent="0.25">
      <c r="B33" s="301"/>
      <c r="C33" s="355" t="s">
        <v>380</v>
      </c>
      <c r="D33" s="356"/>
      <c r="E33" s="356"/>
      <c r="F33" s="357"/>
      <c r="G33" s="141" t="str">
        <f>'Paints and coatings'!F34</f>
        <v>n/a</v>
      </c>
      <c r="H33" s="66"/>
      <c r="I33" s="303"/>
    </row>
    <row r="34" spans="2:9" s="11" customFormat="1" ht="21" customHeight="1" x14ac:dyDescent="0.25">
      <c r="B34" s="301"/>
      <c r="C34" s="355" t="str">
        <f>"Surface area of paints and coatings compliant with VOC content evaluation" &amp; IF(Instructions!$H$10="IP Units", " (sq ft)", IF(Instructions!$H$10="SI Units"," (sq m)"))</f>
        <v>Surface area of paints and coatings compliant with VOC content evaluation (sq ft)</v>
      </c>
      <c r="D34" s="356"/>
      <c r="E34" s="356"/>
      <c r="F34" s="357"/>
      <c r="G34" s="96" t="str">
        <f>'Paints and coatings'!F35</f>
        <v>n/a</v>
      </c>
      <c r="H34" s="66"/>
      <c r="I34" s="303"/>
    </row>
    <row r="35" spans="2:9" s="11" customFormat="1" ht="21" customHeight="1" x14ac:dyDescent="0.25">
      <c r="B35" s="301"/>
      <c r="C35" s="355" t="s">
        <v>381</v>
      </c>
      <c r="D35" s="356"/>
      <c r="E35" s="356"/>
      <c r="F35" s="357"/>
      <c r="G35" s="141" t="str">
        <f>'Paints and coatings'!F36</f>
        <v>n/a</v>
      </c>
      <c r="H35" s="66"/>
      <c r="I35" s="303"/>
    </row>
    <row r="36" spans="2:9" s="11" customFormat="1" ht="21" customHeight="1" x14ac:dyDescent="0.25">
      <c r="B36" s="301"/>
      <c r="C36" s="17"/>
      <c r="D36" s="17"/>
      <c r="E36" s="17"/>
      <c r="F36" s="17"/>
      <c r="G36" s="17"/>
      <c r="H36" s="66"/>
      <c r="I36" s="303"/>
    </row>
    <row r="37" spans="2:9" s="11" customFormat="1" ht="21" customHeight="1" x14ac:dyDescent="0.25">
      <c r="B37" s="301"/>
      <c r="C37" s="355" t="s">
        <v>382</v>
      </c>
      <c r="D37" s="356"/>
      <c r="E37" s="356"/>
      <c r="F37" s="357"/>
      <c r="G37" s="100" t="str">
        <f>'Paints and coatings'!F38</f>
        <v>Yes</v>
      </c>
      <c r="H37" s="66"/>
      <c r="I37" s="303"/>
    </row>
    <row r="38" spans="2:9" s="11" customFormat="1" ht="21" customHeight="1" x14ac:dyDescent="0.25">
      <c r="B38" s="301"/>
      <c r="C38" s="12"/>
      <c r="D38" s="302"/>
      <c r="E38" s="302"/>
      <c r="F38" s="302"/>
      <c r="G38" s="66"/>
      <c r="H38" s="66"/>
      <c r="I38" s="303"/>
    </row>
    <row r="39" spans="2:9" s="11" customFormat="1" ht="21" customHeight="1" x14ac:dyDescent="0.25">
      <c r="B39" s="301"/>
      <c r="C39" s="12" t="s">
        <v>448</v>
      </c>
      <c r="D39" s="302"/>
      <c r="E39" s="302"/>
      <c r="F39" s="302"/>
      <c r="G39" s="66"/>
      <c r="H39" s="66"/>
      <c r="I39" s="303"/>
    </row>
    <row r="40" spans="2:9" s="11" customFormat="1" ht="21" customHeight="1" x14ac:dyDescent="0.25">
      <c r="B40" s="301"/>
      <c r="C40" s="355" t="s">
        <v>384</v>
      </c>
      <c r="D40" s="356"/>
      <c r="E40" s="356"/>
      <c r="F40" s="357"/>
      <c r="G40" s="96">
        <f>'Adhesives and sealants'!F28</f>
        <v>0</v>
      </c>
      <c r="H40" s="66"/>
      <c r="I40" s="303"/>
    </row>
    <row r="41" spans="2:9" s="11" customFormat="1" ht="21" customHeight="1" x14ac:dyDescent="0.25">
      <c r="B41" s="301"/>
      <c r="C41" s="355" t="s">
        <v>385</v>
      </c>
      <c r="D41" s="356"/>
      <c r="E41" s="356"/>
      <c r="F41" s="357"/>
      <c r="G41" s="96">
        <f>'Adhesives and sealants'!F29</f>
        <v>0</v>
      </c>
      <c r="H41" s="66"/>
      <c r="I41" s="303"/>
    </row>
    <row r="42" spans="2:9" s="11" customFormat="1" ht="21" customHeight="1" x14ac:dyDescent="0.25">
      <c r="B42" s="301"/>
      <c r="C42" s="355" t="s">
        <v>386</v>
      </c>
      <c r="D42" s="356"/>
      <c r="E42" s="356"/>
      <c r="F42" s="357"/>
      <c r="G42" s="141">
        <f>'Adhesives and sealants'!F30</f>
        <v>0</v>
      </c>
      <c r="H42" s="66"/>
      <c r="I42" s="303"/>
    </row>
    <row r="43" spans="2:9" s="11" customFormat="1" ht="21" customHeight="1" x14ac:dyDescent="0.25">
      <c r="B43" s="301"/>
      <c r="C43" s="355" t="s">
        <v>378</v>
      </c>
      <c r="D43" s="356"/>
      <c r="E43" s="356"/>
      <c r="F43" s="357"/>
      <c r="G43" s="96">
        <f>'Adhesives and sealants'!F31</f>
        <v>0</v>
      </c>
      <c r="H43" s="66"/>
      <c r="I43" s="303"/>
    </row>
    <row r="44" spans="2:9" s="11" customFormat="1" ht="21" customHeight="1" x14ac:dyDescent="0.25">
      <c r="B44" s="301"/>
      <c r="C44" s="355" t="s">
        <v>387</v>
      </c>
      <c r="D44" s="356"/>
      <c r="E44" s="356"/>
      <c r="F44" s="357"/>
      <c r="G44" s="141">
        <f>'Adhesives and sealants'!F32</f>
        <v>0</v>
      </c>
      <c r="H44" s="66"/>
      <c r="I44" s="303"/>
    </row>
    <row r="45" spans="2:9" s="11" customFormat="1" ht="21" customHeight="1" x14ac:dyDescent="0.25">
      <c r="B45" s="301"/>
      <c r="C45" s="82"/>
      <c r="D45" s="82"/>
      <c r="E45" s="82"/>
      <c r="F45" s="82"/>
      <c r="G45" s="17"/>
      <c r="H45" s="66"/>
      <c r="I45" s="303"/>
    </row>
    <row r="46" spans="2:9" s="11" customFormat="1" ht="21" customHeight="1" x14ac:dyDescent="0.25">
      <c r="B46" s="301"/>
      <c r="C46" s="355" t="str">
        <f>"Total surface area of adhesives and sealants" &amp; IF(Instructions!$H$10="IP Units", " (sq ft)", IF(Instructions!$H$10="SI Units"," (sq m)"))</f>
        <v>Total surface area of adhesives and sealants (sq ft)</v>
      </c>
      <c r="D46" s="356"/>
      <c r="E46" s="356"/>
      <c r="F46" s="357"/>
      <c r="G46" s="96" t="str">
        <f>'Adhesives and sealants'!F34</f>
        <v>n/a</v>
      </c>
      <c r="H46" s="66"/>
      <c r="I46" s="303"/>
    </row>
    <row r="47" spans="2:9" s="11" customFormat="1" ht="21" customHeight="1" x14ac:dyDescent="0.25">
      <c r="B47" s="301"/>
      <c r="C47" s="355" t="str">
        <f>"Surface area of adhesives and sealants compliant with VOC emissions evaluation" &amp; IF(Instructions!$H$10="IP Units", " (sq ft)", IF(Instructions!$H$10="SI Units"," (sq m)"))</f>
        <v>Surface area of adhesives and sealants compliant with VOC emissions evaluation (sq ft)</v>
      </c>
      <c r="D47" s="356"/>
      <c r="E47" s="356"/>
      <c r="F47" s="357"/>
      <c r="G47" s="96" t="str">
        <f>'Adhesives and sealants'!F35</f>
        <v>n/a</v>
      </c>
      <c r="H47" s="66"/>
      <c r="I47" s="303"/>
    </row>
    <row r="48" spans="2:9" s="11" customFormat="1" ht="21" customHeight="1" x14ac:dyDescent="0.25">
      <c r="B48" s="301"/>
      <c r="C48" s="355" t="s">
        <v>388</v>
      </c>
      <c r="D48" s="356"/>
      <c r="E48" s="356"/>
      <c r="F48" s="357"/>
      <c r="G48" s="141" t="str">
        <f>'Adhesives and sealants'!F36</f>
        <v>n/a</v>
      </c>
      <c r="H48" s="66"/>
      <c r="I48" s="303"/>
    </row>
    <row r="49" spans="2:13" s="11" customFormat="1" ht="21" customHeight="1" x14ac:dyDescent="0.25">
      <c r="B49" s="301"/>
      <c r="C49" s="355" t="str">
        <f>"Surface area of adhesives and sealants compliant with VOC content evaluation" &amp; IF(Instructions!$H$10="IP Units", " (sq ft)", IF(Instructions!$H$10="SI Units"," (sq m)"))</f>
        <v>Surface area of adhesives and sealants compliant with VOC content evaluation (sq ft)</v>
      </c>
      <c r="D49" s="356"/>
      <c r="E49" s="356"/>
      <c r="F49" s="357"/>
      <c r="G49" s="96" t="str">
        <f>'Adhesives and sealants'!F37</f>
        <v>n/a</v>
      </c>
      <c r="H49" s="66"/>
      <c r="I49" s="303"/>
      <c r="J49" s="304"/>
      <c r="K49" s="304"/>
      <c r="L49" s="304"/>
      <c r="M49" s="304"/>
    </row>
    <row r="50" spans="2:13" s="11" customFormat="1" ht="18" customHeight="1" x14ac:dyDescent="0.25">
      <c r="B50" s="13"/>
      <c r="C50" s="355" t="s">
        <v>381</v>
      </c>
      <c r="D50" s="356"/>
      <c r="E50" s="356"/>
      <c r="F50" s="357"/>
      <c r="G50" s="141" t="str">
        <f>'Adhesives and sealants'!F38</f>
        <v>n/a</v>
      </c>
      <c r="H50" s="66"/>
      <c r="I50" s="303"/>
      <c r="J50" s="304"/>
      <c r="K50" s="304"/>
      <c r="L50" s="304"/>
      <c r="M50" s="304"/>
    </row>
    <row r="51" spans="2:13" s="11" customFormat="1" ht="9.75" customHeight="1" x14ac:dyDescent="0.25">
      <c r="B51" s="13"/>
      <c r="C51" s="17"/>
      <c r="D51" s="17"/>
      <c r="E51" s="17"/>
      <c r="F51" s="17"/>
      <c r="G51" s="17"/>
      <c r="H51" s="66"/>
      <c r="I51" s="303"/>
      <c r="J51" s="304"/>
      <c r="K51" s="304"/>
      <c r="L51" s="304"/>
      <c r="M51" s="304"/>
    </row>
    <row r="52" spans="2:13" s="14" customFormat="1" ht="18" customHeight="1" x14ac:dyDescent="0.25">
      <c r="B52" s="15"/>
      <c r="C52" s="355" t="s">
        <v>389</v>
      </c>
      <c r="D52" s="356"/>
      <c r="E52" s="356"/>
      <c r="F52" s="357"/>
      <c r="G52" s="96" t="str">
        <f>'Adhesives and sealants'!F40</f>
        <v>Yes</v>
      </c>
      <c r="H52" s="108"/>
      <c r="I52" s="16"/>
    </row>
    <row r="53" spans="2:13" s="11" customFormat="1" ht="20.25" customHeight="1" x14ac:dyDescent="0.25">
      <c r="B53" s="13"/>
      <c r="C53" s="305"/>
      <c r="D53" s="302"/>
      <c r="E53" s="302"/>
      <c r="F53" s="302"/>
      <c r="G53" s="66"/>
      <c r="H53" s="66"/>
      <c r="I53" s="303"/>
      <c r="J53" s="304"/>
      <c r="K53" s="304"/>
      <c r="L53" s="304"/>
      <c r="M53" s="304"/>
    </row>
    <row r="54" spans="2:13" s="11" customFormat="1" x14ac:dyDescent="0.25">
      <c r="B54" s="13"/>
      <c r="C54" s="106" t="s">
        <v>390</v>
      </c>
      <c r="D54" s="302"/>
      <c r="E54" s="302"/>
      <c r="F54" s="302"/>
      <c r="G54" s="66"/>
      <c r="H54" s="66"/>
      <c r="I54" s="303"/>
      <c r="J54" s="304"/>
      <c r="K54" s="304"/>
      <c r="L54" s="304"/>
      <c r="M54" s="304"/>
    </row>
    <row r="55" spans="2:13" s="11" customFormat="1" x14ac:dyDescent="0.25">
      <c r="B55" s="13"/>
      <c r="C55" s="305"/>
      <c r="D55" s="302"/>
      <c r="E55" s="302"/>
      <c r="F55" s="302"/>
      <c r="G55" s="66"/>
      <c r="H55" s="66"/>
      <c r="I55" s="303"/>
      <c r="J55" s="304"/>
      <c r="K55" s="304"/>
      <c r="L55" s="304"/>
      <c r="M55" s="304"/>
    </row>
    <row r="56" spans="2:13" s="11" customFormat="1" ht="33" customHeight="1" x14ac:dyDescent="0.25">
      <c r="B56" s="13"/>
      <c r="C56" s="365" t="s">
        <v>397</v>
      </c>
      <c r="D56" s="365"/>
      <c r="E56" s="365"/>
      <c r="F56" s="365"/>
      <c r="G56" s="96">
        <f>Flooring!F23</f>
        <v>0</v>
      </c>
      <c r="H56" s="66"/>
      <c r="I56" s="303"/>
      <c r="J56" s="304"/>
      <c r="K56" s="304"/>
      <c r="L56" s="304"/>
      <c r="M56" s="304"/>
    </row>
    <row r="57" spans="2:13" s="11" customFormat="1" ht="33" customHeight="1" x14ac:dyDescent="0.25">
      <c r="B57" s="13"/>
      <c r="C57" s="366" t="s">
        <v>398</v>
      </c>
      <c r="D57" s="366"/>
      <c r="E57" s="366"/>
      <c r="F57" s="366"/>
      <c r="G57" s="96">
        <f>Flooring!F24</f>
        <v>0</v>
      </c>
      <c r="H57" s="66"/>
      <c r="I57" s="303"/>
      <c r="J57" s="304"/>
      <c r="K57" s="304"/>
      <c r="L57" s="304"/>
      <c r="M57" s="304"/>
    </row>
    <row r="58" spans="2:13" s="11" customFormat="1" ht="33" customHeight="1" x14ac:dyDescent="0.25">
      <c r="B58" s="13"/>
      <c r="C58" s="366" t="s">
        <v>399</v>
      </c>
      <c r="D58" s="366"/>
      <c r="E58" s="366"/>
      <c r="F58" s="366"/>
      <c r="G58" s="141">
        <f>Flooring!F25</f>
        <v>0</v>
      </c>
      <c r="H58" s="66"/>
      <c r="I58" s="303"/>
      <c r="J58" s="304"/>
      <c r="K58" s="304"/>
      <c r="L58" s="304"/>
      <c r="M58" s="304"/>
    </row>
    <row r="59" spans="2:13" s="11" customFormat="1" ht="33" customHeight="1" x14ac:dyDescent="0.25">
      <c r="B59" s="13"/>
      <c r="C59" s="82"/>
      <c r="D59" s="82"/>
      <c r="E59" s="82"/>
      <c r="F59" s="82"/>
      <c r="G59" s="17"/>
      <c r="H59" s="66"/>
      <c r="I59" s="303"/>
      <c r="J59" s="304"/>
      <c r="K59" s="304"/>
      <c r="L59" s="304"/>
      <c r="M59" s="304"/>
    </row>
    <row r="60" spans="2:13" s="11" customFormat="1" ht="33" customHeight="1" x14ac:dyDescent="0.25">
      <c r="B60" s="13"/>
      <c r="C60" s="367" t="str">
        <f>"Total surface area of flooring" &amp; IF(Instructions!$H$10="IP Units", " (sq ft)", IF(Instructions!$H$10="SI Units"," (sq m)"))</f>
        <v>Total surface area of flooring (sq ft)</v>
      </c>
      <c r="D60" s="367"/>
      <c r="E60" s="367"/>
      <c r="F60" s="367"/>
      <c r="G60" s="96" t="str">
        <f>Flooring!F27</f>
        <v>n/a</v>
      </c>
      <c r="H60" s="66"/>
      <c r="I60" s="303"/>
      <c r="J60" s="304"/>
      <c r="K60" s="304"/>
      <c r="L60" s="304"/>
      <c r="M60" s="304"/>
    </row>
    <row r="61" spans="2:13" s="11" customFormat="1" ht="33" customHeight="1" x14ac:dyDescent="0.25">
      <c r="B61" s="13"/>
      <c r="C61" s="366"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D61" s="366"/>
      <c r="E61" s="366"/>
      <c r="F61" s="366"/>
      <c r="G61" s="96" t="str">
        <f>Flooring!F28</f>
        <v>n/a</v>
      </c>
      <c r="H61" s="66"/>
      <c r="I61" s="303"/>
      <c r="J61" s="304"/>
      <c r="K61" s="304"/>
      <c r="L61" s="304"/>
      <c r="M61" s="304"/>
    </row>
    <row r="62" spans="2:13" s="11" customFormat="1" ht="33" customHeight="1" x14ac:dyDescent="0.25">
      <c r="B62" s="13"/>
      <c r="C62" s="366" t="s">
        <v>400</v>
      </c>
      <c r="D62" s="366"/>
      <c r="E62" s="366"/>
      <c r="F62" s="366"/>
      <c r="G62" s="141" t="str">
        <f>Flooring!F29</f>
        <v>n/a</v>
      </c>
      <c r="H62" s="66"/>
      <c r="I62" s="303"/>
      <c r="J62" s="304"/>
      <c r="K62" s="304"/>
      <c r="L62" s="304"/>
      <c r="M62" s="304"/>
    </row>
    <row r="63" spans="2:13" s="11" customFormat="1" ht="33" customHeight="1" x14ac:dyDescent="0.25">
      <c r="B63" s="13"/>
      <c r="C63" s="305"/>
      <c r="D63" s="302"/>
      <c r="E63" s="302"/>
      <c r="F63" s="302"/>
      <c r="G63" s="66"/>
      <c r="H63" s="66"/>
      <c r="I63" s="303"/>
      <c r="J63" s="304"/>
      <c r="K63" s="304"/>
      <c r="L63" s="304"/>
      <c r="M63" s="304"/>
    </row>
    <row r="64" spans="2:13" s="11" customFormat="1" ht="33" customHeight="1" x14ac:dyDescent="0.25">
      <c r="B64" s="13"/>
      <c r="C64" s="106" t="s">
        <v>401</v>
      </c>
      <c r="D64" s="302"/>
      <c r="E64" s="302"/>
      <c r="F64" s="302"/>
      <c r="G64" s="66"/>
      <c r="H64" s="66"/>
      <c r="I64" s="303"/>
      <c r="J64" s="304"/>
      <c r="K64" s="304"/>
      <c r="L64" s="304"/>
      <c r="M64" s="304"/>
    </row>
    <row r="65" spans="2:9" s="11" customFormat="1" x14ac:dyDescent="0.25">
      <c r="B65" s="13"/>
      <c r="C65" s="305"/>
      <c r="D65" s="302"/>
      <c r="E65" s="302"/>
      <c r="F65" s="302"/>
      <c r="G65" s="66"/>
      <c r="H65" s="66"/>
      <c r="I65" s="303"/>
    </row>
    <row r="66" spans="2:9" s="11" customFormat="1" ht="33" customHeight="1" x14ac:dyDescent="0.25">
      <c r="B66" s="13"/>
      <c r="C66" s="377" t="s">
        <v>403</v>
      </c>
      <c r="D66" s="378"/>
      <c r="E66" s="378"/>
      <c r="F66" s="379"/>
      <c r="G66" s="96">
        <f>'Wall panels'!F24</f>
        <v>0</v>
      </c>
      <c r="H66" s="66"/>
      <c r="I66" s="303"/>
    </row>
    <row r="67" spans="2:9" s="11" customFormat="1" ht="33" customHeight="1" x14ac:dyDescent="0.25">
      <c r="B67" s="13"/>
      <c r="C67" s="373" t="s">
        <v>404</v>
      </c>
      <c r="D67" s="374"/>
      <c r="E67" s="374"/>
      <c r="F67" s="375"/>
      <c r="G67" s="96">
        <f>'Wall panels'!F25</f>
        <v>0</v>
      </c>
      <c r="H67" s="66"/>
      <c r="I67" s="303"/>
    </row>
    <row r="68" spans="2:9" s="11" customFormat="1" ht="33" customHeight="1" x14ac:dyDescent="0.25">
      <c r="B68" s="13"/>
      <c r="C68" s="373" t="s">
        <v>405</v>
      </c>
      <c r="D68" s="374"/>
      <c r="E68" s="374"/>
      <c r="F68" s="375"/>
      <c r="G68" s="141">
        <f>'Wall panels'!F26</f>
        <v>0</v>
      </c>
      <c r="H68" s="66"/>
      <c r="I68" s="303"/>
    </row>
    <row r="69" spans="2:9" s="11" customFormat="1" ht="33" customHeight="1" x14ac:dyDescent="0.25">
      <c r="B69" s="13"/>
      <c r="C69" s="82"/>
      <c r="D69" s="82"/>
      <c r="E69" s="82"/>
      <c r="F69" s="82"/>
      <c r="G69" s="17"/>
      <c r="H69" s="66"/>
      <c r="I69" s="303"/>
    </row>
    <row r="70" spans="2:9" s="11" customFormat="1" ht="33" customHeight="1" x14ac:dyDescent="0.25">
      <c r="B70" s="13"/>
      <c r="C70" s="355" t="str">
        <f>"Total surface area of wall panels" &amp; IF(Instructions!$H$10="IP Units", " (sq ft)", IF(Instructions!$H$10="SI Units"," (sq m)"))</f>
        <v>Total surface area of wall panels (sq ft)</v>
      </c>
      <c r="D70" s="356"/>
      <c r="E70" s="356"/>
      <c r="F70" s="357"/>
      <c r="G70" s="96" t="str">
        <f>'Wall panels'!F28</f>
        <v>n/a</v>
      </c>
      <c r="H70" s="66"/>
      <c r="I70" s="303"/>
    </row>
    <row r="71" spans="2:9" s="11" customFormat="1" ht="33" customHeight="1" x14ac:dyDescent="0.25">
      <c r="B71" s="13"/>
      <c r="C71" s="373"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D71" s="374"/>
      <c r="E71" s="374"/>
      <c r="F71" s="375"/>
      <c r="G71" s="96" t="str">
        <f>'Wall panels'!F29</f>
        <v>n/a</v>
      </c>
      <c r="H71" s="66"/>
      <c r="I71" s="303"/>
    </row>
    <row r="72" spans="2:9" s="11" customFormat="1" ht="33" customHeight="1" x14ac:dyDescent="0.25">
      <c r="B72" s="13"/>
      <c r="C72" s="373" t="s">
        <v>406</v>
      </c>
      <c r="D72" s="374"/>
      <c r="E72" s="374"/>
      <c r="F72" s="375"/>
      <c r="G72" s="141" t="str">
        <f>'Wall panels'!F30</f>
        <v>n/a</v>
      </c>
      <c r="H72" s="66"/>
      <c r="I72" s="303"/>
    </row>
    <row r="73" spans="2:9" s="11" customFormat="1" ht="33" customHeight="1" x14ac:dyDescent="0.25">
      <c r="B73" s="13"/>
      <c r="C73" s="305"/>
      <c r="D73" s="302"/>
      <c r="E73" s="302"/>
      <c r="F73" s="302"/>
      <c r="G73" s="66"/>
      <c r="H73" s="66"/>
      <c r="I73" s="303"/>
    </row>
    <row r="74" spans="2:9" s="11" customFormat="1" x14ac:dyDescent="0.25">
      <c r="B74" s="13"/>
      <c r="C74" s="106" t="s">
        <v>407</v>
      </c>
      <c r="D74" s="302"/>
      <c r="E74" s="302"/>
      <c r="F74" s="302"/>
      <c r="G74" s="66"/>
      <c r="H74" s="66"/>
      <c r="I74" s="303"/>
    </row>
    <row r="75" spans="2:9" s="11" customFormat="1" x14ac:dyDescent="0.25">
      <c r="B75" s="13"/>
      <c r="C75" s="305"/>
      <c r="D75" s="302"/>
      <c r="E75" s="302"/>
      <c r="F75" s="302"/>
      <c r="G75" s="66"/>
      <c r="H75" s="66"/>
      <c r="I75" s="303"/>
    </row>
    <row r="76" spans="2:9" s="11" customFormat="1" ht="33" customHeight="1" x14ac:dyDescent="0.25">
      <c r="B76" s="13"/>
      <c r="C76" s="365" t="s">
        <v>408</v>
      </c>
      <c r="D76" s="365"/>
      <c r="E76" s="365"/>
      <c r="F76" s="365"/>
      <c r="G76" s="96">
        <f>Ceilings!F24</f>
        <v>0</v>
      </c>
      <c r="H76" s="66"/>
      <c r="I76" s="303"/>
    </row>
    <row r="77" spans="2:9" s="11" customFormat="1" ht="33" customHeight="1" x14ac:dyDescent="0.25">
      <c r="B77" s="13"/>
      <c r="C77" s="366" t="s">
        <v>409</v>
      </c>
      <c r="D77" s="366"/>
      <c r="E77" s="366"/>
      <c r="F77" s="366"/>
      <c r="G77" s="96">
        <f>Ceilings!F25</f>
        <v>0</v>
      </c>
      <c r="H77" s="66"/>
      <c r="I77" s="303"/>
    </row>
    <row r="78" spans="2:9" s="11" customFormat="1" ht="33" customHeight="1" x14ac:dyDescent="0.25">
      <c r="B78" s="13"/>
      <c r="C78" s="366" t="s">
        <v>410</v>
      </c>
      <c r="D78" s="366"/>
      <c r="E78" s="366"/>
      <c r="F78" s="366"/>
      <c r="G78" s="141">
        <f>Ceilings!F26</f>
        <v>0</v>
      </c>
      <c r="H78" s="66"/>
      <c r="I78" s="303"/>
    </row>
    <row r="79" spans="2:9" s="11" customFormat="1" ht="33" customHeight="1" x14ac:dyDescent="0.25">
      <c r="B79" s="13"/>
      <c r="C79" s="82"/>
      <c r="D79" s="82"/>
      <c r="E79" s="82"/>
      <c r="F79" s="82"/>
      <c r="G79" s="17"/>
      <c r="H79" s="66"/>
      <c r="I79" s="303"/>
    </row>
    <row r="80" spans="2:9" s="11" customFormat="1" ht="33" customHeight="1" x14ac:dyDescent="0.25">
      <c r="B80" s="13"/>
      <c r="C80" s="367" t="str">
        <f>"Total surface area of ceilings" &amp; IF(Instructions!$H$10="IP Units", " (sq ft)", IF(Instructions!$H$10="SI Units"," (sq m)"))</f>
        <v>Total surface area of ceilings (sq ft)</v>
      </c>
      <c r="D80" s="367"/>
      <c r="E80" s="367"/>
      <c r="F80" s="367"/>
      <c r="G80" s="96" t="str">
        <f>Ceilings!F28</f>
        <v>n/a</v>
      </c>
      <c r="H80" s="66"/>
      <c r="I80" s="303"/>
    </row>
    <row r="81" spans="2:9" s="11" customFormat="1" ht="33" customHeight="1" x14ac:dyDescent="0.25">
      <c r="B81" s="13"/>
      <c r="C81" s="366"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D81" s="366"/>
      <c r="E81" s="366"/>
      <c r="F81" s="366"/>
      <c r="G81" s="96" t="str">
        <f>Ceilings!F29</f>
        <v>n/a</v>
      </c>
      <c r="H81" s="66"/>
      <c r="I81" s="303"/>
    </row>
    <row r="82" spans="2:9" s="11" customFormat="1" ht="33" customHeight="1" x14ac:dyDescent="0.25">
      <c r="B82" s="13"/>
      <c r="C82" s="366" t="s">
        <v>411</v>
      </c>
      <c r="D82" s="366"/>
      <c r="E82" s="366"/>
      <c r="F82" s="366"/>
      <c r="G82" s="141" t="str">
        <f>Ceilings!F30</f>
        <v>n/a</v>
      </c>
      <c r="H82" s="66"/>
      <c r="I82" s="303"/>
    </row>
    <row r="83" spans="2:9" s="11" customFormat="1" x14ac:dyDescent="0.25">
      <c r="B83" s="13"/>
      <c r="C83" s="305"/>
      <c r="D83" s="302"/>
      <c r="E83" s="302"/>
      <c r="F83" s="302"/>
      <c r="G83" s="66"/>
      <c r="H83" s="66"/>
      <c r="I83" s="303"/>
    </row>
    <row r="84" spans="2:9" s="11" customFormat="1" x14ac:dyDescent="0.25">
      <c r="B84" s="13"/>
      <c r="C84" s="305"/>
      <c r="D84" s="302"/>
      <c r="E84" s="302"/>
      <c r="F84" s="302"/>
      <c r="G84" s="66"/>
      <c r="H84" s="66"/>
      <c r="I84" s="303"/>
    </row>
    <row r="85" spans="2:9" s="11" customFormat="1" x14ac:dyDescent="0.25">
      <c r="B85" s="13"/>
      <c r="C85" s="106" t="s">
        <v>412</v>
      </c>
      <c r="D85" s="302"/>
      <c r="E85" s="302"/>
      <c r="F85" s="302"/>
      <c r="G85" s="66"/>
      <c r="H85" s="66"/>
      <c r="I85" s="303"/>
    </row>
    <row r="86" spans="2:9" s="11" customFormat="1" x14ac:dyDescent="0.25">
      <c r="B86" s="13"/>
      <c r="C86" s="305"/>
      <c r="D86" s="302"/>
      <c r="E86" s="302"/>
      <c r="F86" s="302"/>
      <c r="G86" s="66"/>
      <c r="H86" s="66"/>
      <c r="I86" s="303"/>
    </row>
    <row r="87" spans="2:9" s="11" customFormat="1" ht="33" customHeight="1" x14ac:dyDescent="0.25">
      <c r="B87" s="13"/>
      <c r="C87" s="365" t="s">
        <v>415</v>
      </c>
      <c r="D87" s="365"/>
      <c r="E87" s="365"/>
      <c r="F87" s="365"/>
      <c r="G87" s="96">
        <f>Insulation!F24</f>
        <v>0</v>
      </c>
      <c r="H87" s="66"/>
      <c r="I87" s="303"/>
    </row>
    <row r="88" spans="2:9" s="11" customFormat="1" ht="33" customHeight="1" x14ac:dyDescent="0.25">
      <c r="B88" s="13"/>
      <c r="C88" s="366" t="s">
        <v>416</v>
      </c>
      <c r="D88" s="366"/>
      <c r="E88" s="366"/>
      <c r="F88" s="366"/>
      <c r="G88" s="96">
        <f>Insulation!F25</f>
        <v>0</v>
      </c>
      <c r="H88" s="66"/>
      <c r="I88" s="303"/>
    </row>
    <row r="89" spans="2:9" s="11" customFormat="1" ht="33" customHeight="1" x14ac:dyDescent="0.25">
      <c r="B89" s="13"/>
      <c r="C89" s="366" t="s">
        <v>417</v>
      </c>
      <c r="D89" s="366"/>
      <c r="E89" s="366"/>
      <c r="F89" s="366"/>
      <c r="G89" s="141">
        <f>Insulation!F26</f>
        <v>0</v>
      </c>
      <c r="H89" s="66"/>
      <c r="I89" s="303"/>
    </row>
    <row r="90" spans="2:9" s="11" customFormat="1" ht="33" customHeight="1" x14ac:dyDescent="0.25">
      <c r="B90" s="13"/>
      <c r="C90" s="82"/>
      <c r="D90" s="82"/>
      <c r="E90" s="82"/>
      <c r="F90" s="82"/>
      <c r="G90" s="17"/>
      <c r="H90" s="66"/>
      <c r="I90" s="303"/>
    </row>
    <row r="91" spans="2:9" s="11" customFormat="1" ht="33" customHeight="1" x14ac:dyDescent="0.25">
      <c r="B91" s="13"/>
      <c r="C91" s="367" t="str">
        <f>"Total surface area of insulation" &amp; IF(Instructions!$H$10="IP Units", " (sq ft)", IF(Instructions!$H$10="SI Units"," (sq m)"))</f>
        <v>Total surface area of insulation (sq ft)</v>
      </c>
      <c r="D91" s="367"/>
      <c r="E91" s="367"/>
      <c r="F91" s="367"/>
      <c r="G91" s="96" t="str">
        <f>Insulation!F28</f>
        <v>n/a</v>
      </c>
      <c r="H91" s="66"/>
      <c r="I91" s="303"/>
    </row>
    <row r="92" spans="2:9" s="11" customFormat="1" ht="33" customHeight="1" x14ac:dyDescent="0.25">
      <c r="B92" s="13"/>
      <c r="C92" s="366"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D92" s="366"/>
      <c r="E92" s="366"/>
      <c r="F92" s="366"/>
      <c r="G92" s="96" t="str">
        <f>Insulation!F29</f>
        <v>n/a</v>
      </c>
      <c r="H92" s="66"/>
      <c r="I92" s="303"/>
    </row>
    <row r="93" spans="2:9" s="11" customFormat="1" ht="33" customHeight="1" x14ac:dyDescent="0.25">
      <c r="B93" s="13"/>
      <c r="C93" s="366" t="s">
        <v>418</v>
      </c>
      <c r="D93" s="366"/>
      <c r="E93" s="366"/>
      <c r="F93" s="366"/>
      <c r="G93" s="141" t="str">
        <f>Insulation!F30</f>
        <v>n/a</v>
      </c>
      <c r="H93" s="66"/>
      <c r="I93" s="303"/>
    </row>
    <row r="94" spans="2:9" s="11" customFormat="1" x14ac:dyDescent="0.25">
      <c r="B94" s="13"/>
      <c r="C94" s="305"/>
      <c r="D94" s="302"/>
      <c r="E94" s="302"/>
      <c r="F94" s="302"/>
      <c r="G94" s="66"/>
      <c r="H94" s="66"/>
      <c r="I94" s="303"/>
    </row>
    <row r="95" spans="2:9" s="11" customFormat="1" x14ac:dyDescent="0.25">
      <c r="B95" s="13"/>
      <c r="C95" s="305"/>
      <c r="D95" s="302"/>
      <c r="E95" s="302"/>
      <c r="F95" s="302"/>
      <c r="G95" s="66"/>
      <c r="H95" s="66"/>
      <c r="I95" s="303"/>
    </row>
    <row r="96" spans="2:9" s="11" customFormat="1" x14ac:dyDescent="0.25">
      <c r="B96" s="13"/>
      <c r="C96" s="106" t="s">
        <v>419</v>
      </c>
      <c r="D96" s="302"/>
      <c r="E96" s="302"/>
      <c r="F96" s="302"/>
      <c r="G96" s="66"/>
      <c r="H96" s="66"/>
      <c r="I96" s="303"/>
    </row>
    <row r="97" spans="2:9" s="11" customFormat="1" x14ac:dyDescent="0.25">
      <c r="B97" s="13"/>
      <c r="C97" s="305"/>
      <c r="D97" s="302"/>
      <c r="E97" s="302"/>
      <c r="F97" s="302"/>
      <c r="G97" s="66"/>
      <c r="H97" s="66"/>
      <c r="I97" s="303"/>
    </row>
    <row r="98" spans="2:9" s="11" customFormat="1" ht="33" customHeight="1" x14ac:dyDescent="0.25">
      <c r="B98" s="13"/>
      <c r="C98" s="355" t="s">
        <v>424</v>
      </c>
      <c r="D98" s="356"/>
      <c r="E98" s="356"/>
      <c r="F98" s="357"/>
      <c r="G98" s="96">
        <f>Furniture!E23</f>
        <v>0</v>
      </c>
      <c r="H98" s="66"/>
      <c r="I98" s="303"/>
    </row>
    <row r="99" spans="2:9" s="11" customFormat="1" ht="33" customHeight="1" x14ac:dyDescent="0.25">
      <c r="B99" s="13"/>
      <c r="C99" s="355" t="s">
        <v>425</v>
      </c>
      <c r="D99" s="356"/>
      <c r="E99" s="356"/>
      <c r="F99" s="376"/>
      <c r="G99" s="96">
        <f>Furniture!E24</f>
        <v>0</v>
      </c>
      <c r="H99" s="66"/>
      <c r="I99" s="303"/>
    </row>
    <row r="100" spans="2:9" s="11" customFormat="1" ht="33" customHeight="1" x14ac:dyDescent="0.25">
      <c r="B100" s="13"/>
      <c r="C100" s="373" t="s">
        <v>426</v>
      </c>
      <c r="D100" s="374"/>
      <c r="E100" s="374"/>
      <c r="F100" s="375"/>
      <c r="G100" s="141">
        <f>Furniture!E25</f>
        <v>0</v>
      </c>
      <c r="H100" s="66"/>
      <c r="I100" s="303"/>
    </row>
    <row r="101" spans="2:9" s="11" customFormat="1" x14ac:dyDescent="0.25">
      <c r="B101" s="13"/>
      <c r="C101" s="305"/>
      <c r="D101" s="302"/>
      <c r="E101" s="302"/>
      <c r="F101" s="302"/>
      <c r="G101" s="142"/>
      <c r="H101" s="66"/>
      <c r="I101" s="303"/>
    </row>
    <row r="102" spans="2:9" s="11" customFormat="1" x14ac:dyDescent="0.25">
      <c r="B102" s="13"/>
      <c r="C102" s="305"/>
      <c r="D102" s="302"/>
      <c r="E102" s="302"/>
      <c r="F102" s="302"/>
      <c r="G102" s="142"/>
      <c r="H102" s="66"/>
      <c r="I102" s="303"/>
    </row>
    <row r="103" spans="2:9" s="11" customFormat="1" x14ac:dyDescent="0.25">
      <c r="B103" s="13"/>
      <c r="C103" s="106" t="s">
        <v>427</v>
      </c>
      <c r="D103" s="302"/>
      <c r="E103" s="302"/>
      <c r="F103" s="302"/>
      <c r="G103" s="142"/>
      <c r="H103" s="66"/>
      <c r="I103" s="303"/>
    </row>
    <row r="104" spans="2:9" s="11" customFormat="1" x14ac:dyDescent="0.25">
      <c r="B104" s="13"/>
      <c r="C104" s="305"/>
      <c r="D104" s="302"/>
      <c r="E104" s="302"/>
      <c r="F104" s="302"/>
      <c r="G104" s="142"/>
      <c r="H104" s="66"/>
      <c r="I104" s="303"/>
    </row>
    <row r="105" spans="2:9" s="11" customFormat="1" ht="33" customHeight="1" x14ac:dyDescent="0.25">
      <c r="B105" s="13"/>
      <c r="C105" s="367" t="s">
        <v>430</v>
      </c>
      <c r="D105" s="367"/>
      <c r="E105" s="367"/>
      <c r="F105" s="367"/>
      <c r="G105" s="96" t="str">
        <f>'Composite wood'!F24</f>
        <v>n/a</v>
      </c>
      <c r="H105" s="66"/>
      <c r="I105" s="303"/>
    </row>
    <row r="106" spans="2:9" s="11" customFormat="1" ht="33" customHeight="1" x14ac:dyDescent="0.25">
      <c r="B106" s="13"/>
      <c r="C106" s="366" t="s">
        <v>431</v>
      </c>
      <c r="D106" s="366"/>
      <c r="E106" s="366"/>
      <c r="F106" s="366"/>
      <c r="G106" s="96" t="str">
        <f>'Composite wood'!F25</f>
        <v>n/a</v>
      </c>
      <c r="H106" s="66"/>
      <c r="I106" s="303"/>
    </row>
    <row r="107" spans="2:9" s="11" customFormat="1" ht="33" customHeight="1" x14ac:dyDescent="0.25">
      <c r="B107" s="13"/>
      <c r="C107" s="366" t="s">
        <v>432</v>
      </c>
      <c r="D107" s="366"/>
      <c r="E107" s="366"/>
      <c r="F107" s="366"/>
      <c r="G107" s="141" t="str">
        <f>'Composite wood'!F26</f>
        <v>n/a</v>
      </c>
      <c r="H107" s="66"/>
      <c r="I107" s="303"/>
    </row>
    <row r="108" spans="2:9" s="11" customFormat="1" ht="33" customHeight="1" x14ac:dyDescent="0.25">
      <c r="B108" s="13"/>
      <c r="C108" s="82"/>
      <c r="D108" s="82"/>
      <c r="E108" s="82"/>
      <c r="F108" s="82"/>
      <c r="G108" s="109"/>
      <c r="H108" s="66"/>
      <c r="I108" s="303"/>
    </row>
    <row r="109" spans="2:9" s="11" customFormat="1" ht="33" customHeight="1" x14ac:dyDescent="0.25">
      <c r="B109" s="13"/>
      <c r="C109" s="367" t="str">
        <f>"Total surface area of composite wood products" &amp; IF(Instructions!$H$10="IP Units", " (sq ft)", IF(Instructions!$H$10="SI Units"," (sq m)"))</f>
        <v>Total surface area of composite wood products (sq ft)</v>
      </c>
      <c r="D109" s="367"/>
      <c r="E109" s="367"/>
      <c r="F109" s="367"/>
      <c r="G109" s="96">
        <f>'Composite wood'!F28</f>
        <v>0</v>
      </c>
      <c r="H109" s="66"/>
      <c r="I109" s="303"/>
    </row>
    <row r="110" spans="2:9" s="11" customFormat="1" ht="33" customHeight="1" x14ac:dyDescent="0.25">
      <c r="B110" s="13"/>
      <c r="C110" s="366"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D110" s="366"/>
      <c r="E110" s="366"/>
      <c r="F110" s="366"/>
      <c r="G110" s="96">
        <f>'Composite wood'!F29</f>
        <v>0</v>
      </c>
      <c r="H110" s="66"/>
      <c r="I110" s="303"/>
    </row>
    <row r="111" spans="2:9" s="11" customFormat="1" ht="33" customHeight="1" x14ac:dyDescent="0.25">
      <c r="B111" s="13"/>
      <c r="C111" s="366" t="s">
        <v>433</v>
      </c>
      <c r="D111" s="366"/>
      <c r="E111" s="366"/>
      <c r="F111" s="366"/>
      <c r="G111" s="141">
        <f>'Composite wood'!F30</f>
        <v>0</v>
      </c>
      <c r="H111" s="66"/>
      <c r="I111" s="303"/>
    </row>
    <row r="112" spans="2:9" s="11" customFormat="1" x14ac:dyDescent="0.25">
      <c r="B112" s="13"/>
      <c r="C112" s="305"/>
      <c r="D112" s="302"/>
      <c r="E112" s="302"/>
      <c r="F112" s="302"/>
      <c r="G112" s="66"/>
      <c r="H112" s="66"/>
      <c r="I112" s="303"/>
    </row>
    <row r="113" spans="2:10" ht="24" customHeight="1" x14ac:dyDescent="0.2">
      <c r="B113" s="306"/>
      <c r="C113" s="307"/>
      <c r="D113" s="307"/>
      <c r="E113" s="307"/>
      <c r="F113" s="307"/>
      <c r="G113" s="308"/>
      <c r="H113" s="308"/>
      <c r="I113" s="309"/>
      <c r="J113" s="310"/>
    </row>
  </sheetData>
  <sheetProtection algorithmName="SHA-512" hashValue="SjiIwqAkoJJDGx/QEDdQoee6Dq1qXki4PiZUEojCDRaOWzZzXxrjjCrtvdaUbOW6C6pA0mPwIX7cqe+alNMy/w==" saltValue="C62WV8FZXhkMQAfeQqYnHw==" spinCount="100000" sheet="1" objects="1" scenarios="1" formatColumns="0" formatRows="0"/>
  <mergeCells count="59">
    <mergeCell ref="H7:H9"/>
    <mergeCell ref="G7:G9"/>
    <mergeCell ref="C52:F52"/>
    <mergeCell ref="C106:F106"/>
    <mergeCell ref="C107:F107"/>
    <mergeCell ref="C91:F91"/>
    <mergeCell ref="C92:F92"/>
    <mergeCell ref="C93:F93"/>
    <mergeCell ref="C35:F35"/>
    <mergeCell ref="C40:F40"/>
    <mergeCell ref="C43:F43"/>
    <mergeCell ref="C44:F44"/>
    <mergeCell ref="C46:F46"/>
    <mergeCell ref="G10:G12"/>
    <mergeCell ref="H10:H12"/>
    <mergeCell ref="C25:F25"/>
    <mergeCell ref="C109:F109"/>
    <mergeCell ref="C110:F110"/>
    <mergeCell ref="C111:F111"/>
    <mergeCell ref="C50:F50"/>
    <mergeCell ref="C56:F56"/>
    <mergeCell ref="C57:F57"/>
    <mergeCell ref="C58:F58"/>
    <mergeCell ref="C105:F105"/>
    <mergeCell ref="C66:F66"/>
    <mergeCell ref="C67:F67"/>
    <mergeCell ref="C68:F68"/>
    <mergeCell ref="C70:F70"/>
    <mergeCell ref="C71:F71"/>
    <mergeCell ref="C87:F87"/>
    <mergeCell ref="C88:F88"/>
    <mergeCell ref="C89:F89"/>
    <mergeCell ref="C49:F49"/>
    <mergeCell ref="C37:F37"/>
    <mergeCell ref="C41:F41"/>
    <mergeCell ref="C42:F42"/>
    <mergeCell ref="C47:F47"/>
    <mergeCell ref="C48:F48"/>
    <mergeCell ref="C100:F100"/>
    <mergeCell ref="C60:F60"/>
    <mergeCell ref="C61:F61"/>
    <mergeCell ref="C62:F62"/>
    <mergeCell ref="C76:F76"/>
    <mergeCell ref="C77:F77"/>
    <mergeCell ref="C78:F78"/>
    <mergeCell ref="C80:F80"/>
    <mergeCell ref="C81:F81"/>
    <mergeCell ref="C82:F82"/>
    <mergeCell ref="C72:F72"/>
    <mergeCell ref="C99:F99"/>
    <mergeCell ref="C98:F98"/>
    <mergeCell ref="C26:F26"/>
    <mergeCell ref="C27:F27"/>
    <mergeCell ref="C32:F32"/>
    <mergeCell ref="C33:F33"/>
    <mergeCell ref="C34:F34"/>
    <mergeCell ref="C31:F31"/>
    <mergeCell ref="C28:F28"/>
    <mergeCell ref="C29:F29"/>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0A802-A985-434B-889B-483B8A75D491}">
  <dimension ref="A1:H25"/>
  <sheetViews>
    <sheetView workbookViewId="0">
      <selection activeCell="C2" sqref="C2"/>
    </sheetView>
  </sheetViews>
  <sheetFormatPr defaultRowHeight="15" x14ac:dyDescent="0.25"/>
  <cols>
    <col min="1" max="1" width="27.85546875" customWidth="1"/>
    <col min="2" max="2" width="18.5703125" customWidth="1"/>
    <col min="3" max="3" width="28.140625" bestFit="1" customWidth="1"/>
    <col min="4" max="4" width="24.42578125" bestFit="1" customWidth="1"/>
    <col min="6" max="6" width="25.5703125" customWidth="1"/>
    <col min="8" max="8" width="24.7109375" customWidth="1"/>
  </cols>
  <sheetData>
    <row r="1" spans="1:8" x14ac:dyDescent="0.25">
      <c r="A1" t="s">
        <v>449</v>
      </c>
      <c r="B1" t="s">
        <v>450</v>
      </c>
      <c r="C1" t="s">
        <v>451</v>
      </c>
      <c r="D1" t="s">
        <v>452</v>
      </c>
      <c r="F1" t="s">
        <v>453</v>
      </c>
      <c r="H1" t="s">
        <v>454</v>
      </c>
    </row>
    <row r="2" spans="1:8" x14ac:dyDescent="0.25">
      <c r="A2" t="s">
        <v>364</v>
      </c>
      <c r="B2" t="s">
        <v>455</v>
      </c>
      <c r="C2">
        <v>1</v>
      </c>
      <c r="D2">
        <v>1</v>
      </c>
      <c r="F2" t="s">
        <v>456</v>
      </c>
      <c r="H2" t="s">
        <v>365</v>
      </c>
    </row>
    <row r="3" spans="1:8" x14ac:dyDescent="0.25">
      <c r="A3" t="s">
        <v>366</v>
      </c>
      <c r="B3" t="s">
        <v>457</v>
      </c>
      <c r="C3">
        <v>1</v>
      </c>
      <c r="D3">
        <v>1</v>
      </c>
      <c r="F3" t="s">
        <v>367</v>
      </c>
      <c r="H3" t="s">
        <v>370</v>
      </c>
    </row>
    <row r="4" spans="1:8" x14ac:dyDescent="0.25">
      <c r="A4" t="s">
        <v>396</v>
      </c>
      <c r="C4">
        <v>0</v>
      </c>
      <c r="D4">
        <v>1</v>
      </c>
      <c r="F4" t="s">
        <v>458</v>
      </c>
      <c r="H4" t="s">
        <v>459</v>
      </c>
    </row>
    <row r="5" spans="1:8" x14ac:dyDescent="0.25">
      <c r="A5" t="s">
        <v>369</v>
      </c>
      <c r="C5">
        <v>0</v>
      </c>
      <c r="D5">
        <v>1</v>
      </c>
      <c r="F5" t="s">
        <v>414</v>
      </c>
      <c r="H5" t="s">
        <v>460</v>
      </c>
    </row>
    <row r="6" spans="1:8" x14ac:dyDescent="0.25">
      <c r="A6" t="s">
        <v>368</v>
      </c>
      <c r="C6">
        <v>0</v>
      </c>
      <c r="D6">
        <v>0</v>
      </c>
      <c r="F6" t="s">
        <v>395</v>
      </c>
      <c r="H6" t="s">
        <v>394</v>
      </c>
    </row>
    <row r="7" spans="1:8" x14ac:dyDescent="0.25">
      <c r="F7" t="s">
        <v>461</v>
      </c>
      <c r="H7" t="s">
        <v>462</v>
      </c>
    </row>
    <row r="8" spans="1:8" x14ac:dyDescent="0.25">
      <c r="F8" t="s">
        <v>463</v>
      </c>
      <c r="H8" t="s">
        <v>464</v>
      </c>
    </row>
    <row r="9" spans="1:8" x14ac:dyDescent="0.25">
      <c r="F9" t="s">
        <v>465</v>
      </c>
      <c r="H9" t="s">
        <v>466</v>
      </c>
    </row>
    <row r="10" spans="1:8" x14ac:dyDescent="0.25">
      <c r="F10" t="s">
        <v>467</v>
      </c>
      <c r="H10" t="s">
        <v>468</v>
      </c>
    </row>
    <row r="11" spans="1:8" x14ac:dyDescent="0.25">
      <c r="F11" t="s">
        <v>469</v>
      </c>
      <c r="H11" t="s">
        <v>413</v>
      </c>
    </row>
    <row r="12" spans="1:8" x14ac:dyDescent="0.25">
      <c r="H12" t="s">
        <v>470</v>
      </c>
    </row>
    <row r="13" spans="1:8" x14ac:dyDescent="0.25">
      <c r="H13" t="s">
        <v>471</v>
      </c>
    </row>
    <row r="14" spans="1:8" x14ac:dyDescent="0.25">
      <c r="H14" t="s">
        <v>472</v>
      </c>
    </row>
    <row r="15" spans="1:8" x14ac:dyDescent="0.25">
      <c r="H15" t="s">
        <v>473</v>
      </c>
    </row>
    <row r="16" spans="1:8" x14ac:dyDescent="0.25">
      <c r="H16" t="s">
        <v>474</v>
      </c>
    </row>
    <row r="17" spans="8:8" x14ac:dyDescent="0.25">
      <c r="H17" t="s">
        <v>475</v>
      </c>
    </row>
    <row r="18" spans="8:8" x14ac:dyDescent="0.25">
      <c r="H18" t="s">
        <v>476</v>
      </c>
    </row>
    <row r="19" spans="8:8" x14ac:dyDescent="0.25">
      <c r="H19" t="s">
        <v>477</v>
      </c>
    </row>
    <row r="20" spans="8:8" x14ac:dyDescent="0.25">
      <c r="H20" t="s">
        <v>478</v>
      </c>
    </row>
    <row r="21" spans="8:8" x14ac:dyDescent="0.25">
      <c r="H21" t="s">
        <v>479</v>
      </c>
    </row>
    <row r="22" spans="8:8" x14ac:dyDescent="0.25">
      <c r="H22" t="s">
        <v>480</v>
      </c>
    </row>
    <row r="23" spans="8:8" x14ac:dyDescent="0.25">
      <c r="H23" t="s">
        <v>481</v>
      </c>
    </row>
    <row r="24" spans="8:8" x14ac:dyDescent="0.25">
      <c r="H24" t="s">
        <v>482</v>
      </c>
    </row>
    <row r="25" spans="8:8" x14ac:dyDescent="0.25">
      <c r="H25" t="s">
        <v>483</v>
      </c>
    </row>
  </sheetData>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EA4CF2E3DEA784BA4B9FB1658AB8341" ma:contentTypeVersion="19" ma:contentTypeDescription="Create a new document." ma:contentTypeScope="" ma:versionID="a1a686a54e35c92b0e9f1ff4b1cfecc5">
  <xsd:schema xmlns:xsd="http://www.w3.org/2001/XMLSchema" xmlns:xs="http://www.w3.org/2001/XMLSchema" xmlns:p="http://schemas.microsoft.com/office/2006/metadata/properties" xmlns:ns2="0c64f3b0-bc84-445c-b237-10c3a3af4405" xmlns:ns3="ceffb6e3-835c-475c-a7c0-c0023b9abcbf" targetNamespace="http://schemas.microsoft.com/office/2006/metadata/properties" ma:root="true" ma:fieldsID="3903bd6e1fbc1ab1a38f3656a3e3a10b" ns2:_="" ns3:_="">
    <xsd:import namespace="0c64f3b0-bc84-445c-b237-10c3a3af4405"/>
    <xsd:import namespace="ceffb6e3-835c-475c-a7c0-c0023b9abcb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2:MediaServiceOCR" minOccurs="0"/>
                <xsd:element ref="ns2:MediaServiceObjectDetectorVersions" minOccurs="0"/>
                <xsd:element ref="ns2:Note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64f3b0-bc84-445c-b237-10c3a3af44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71b379c-1df0-4d09-9e1f-75e90cd1f60b"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Notes" ma:index="24" nillable="true" ma:displayName="Notes" ma:format="Dropdown" ma:internalName="Notes">
      <xsd:simpleType>
        <xsd:restriction base="dms:Text">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effb6e3-835c-475c-a7c0-c0023b9abc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e2de0856-a65c-4c54-8c2d-1c55fc3608f2}" ma:internalName="TaxCatchAll" ma:showField="CatchAllData" ma:web="ceffb6e3-835c-475c-a7c0-c0023b9abc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Notes xmlns="0c64f3b0-bc84-445c-b237-10c3a3af4405" xsi:nil="true"/>
    <TaxCatchAll xmlns="ceffb6e3-835c-475c-a7c0-c0023b9abcbf" xsi:nil="true"/>
    <lcf76f155ced4ddcb4097134ff3c332f xmlns="0c64f3b0-bc84-445c-b237-10c3a3af4405">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290A3FF-28C2-4C0B-A78F-B084B59CD6B4}">
  <ds:schemaRefs>
    <ds:schemaRef ds:uri="http://schemas.microsoft.com/sharepoint/v3/contenttype/forms"/>
  </ds:schemaRefs>
</ds:datastoreItem>
</file>

<file path=customXml/itemProps2.xml><?xml version="1.0" encoding="utf-8"?>
<ds:datastoreItem xmlns:ds="http://schemas.openxmlformats.org/officeDocument/2006/customXml" ds:itemID="{55FA1E00-E604-4208-AA25-8C4B718405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64f3b0-bc84-445c-b237-10c3a3af4405"/>
    <ds:schemaRef ds:uri="ceffb6e3-835c-475c-a7c0-c0023b9abc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463B89-7473-4A0C-94DB-EACEF71D725C}">
  <ds:schemaRefs>
    <ds:schemaRef ds:uri="ceffb6e3-835c-475c-a7c0-c0023b9abcbf"/>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0c64f3b0-bc84-445c-b237-10c3a3af440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31</vt:i4>
      </vt:variant>
    </vt:vector>
  </HeadingPairs>
  <TitlesOfParts>
    <vt:vector size="42" baseType="lpstr">
      <vt:lpstr>Instructions</vt:lpstr>
      <vt:lpstr>Paints and coatings</vt:lpstr>
      <vt:lpstr>Adhesives and sealants</vt:lpstr>
      <vt:lpstr>Flooring</vt:lpstr>
      <vt:lpstr>Wall panels</vt:lpstr>
      <vt:lpstr>Ceilings</vt:lpstr>
      <vt:lpstr>Insulation</vt:lpstr>
      <vt:lpstr>Furniture</vt:lpstr>
      <vt:lpstr>Composite wood</vt:lpstr>
      <vt:lpstr>Summary</vt:lpstr>
      <vt:lpstr>Lookups</vt:lpstr>
      <vt:lpstr>Canada</vt:lpstr>
      <vt:lpstr>Canadatb</vt:lpstr>
      <vt:lpstr>CARBSCM2007</vt:lpstr>
      <vt:lpstr>CARBSCMtb</vt:lpstr>
      <vt:lpstr>compWoodColH</vt:lpstr>
      <vt:lpstr>Decopaint</vt:lpstr>
      <vt:lpstr>Decotb</vt:lpstr>
      <vt:lpstr>GenEmissions</vt:lpstr>
      <vt:lpstr>HongKong</vt:lpstr>
      <vt:lpstr>HongKongtb</vt:lpstr>
      <vt:lpstr>manufacturerReportingList</vt:lpstr>
      <vt:lpstr>na</vt:lpstr>
      <vt:lpstr>Instructions!Print_Area</vt:lpstr>
      <vt:lpstr>reportingTypeAdditionalInfoList</vt:lpstr>
      <vt:lpstr>reportingTypeCompliantList</vt:lpstr>
      <vt:lpstr>reportingTypeListsList</vt:lpstr>
      <vt:lpstr>reportingTypeOptionsList</vt:lpstr>
      <vt:lpstr>rule1113</vt:lpstr>
      <vt:lpstr>rule1113tb</vt:lpstr>
      <vt:lpstr>rule1168</vt:lpstr>
      <vt:lpstr>rule1168tb</vt:lpstr>
      <vt:lpstr>STList</vt:lpstr>
      <vt:lpstr>STstart</vt:lpstr>
      <vt:lpstr>thirdPartyCertificationList</vt:lpstr>
      <vt:lpstr>TVOC</vt:lpstr>
      <vt:lpstr>voc_list2</vt:lpstr>
      <vt:lpstr>VOClimit</vt:lpstr>
      <vt:lpstr>VOClist</vt:lpstr>
      <vt:lpstr>VOCList2</vt:lpstr>
      <vt:lpstr>VOCreg</vt:lpstr>
      <vt:lpstr>VOCreg2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USGBC</dc:creator>
  <cp:keywords/>
  <dc:description/>
  <cp:lastModifiedBy>Weronika Szynal</cp:lastModifiedBy>
  <cp:revision/>
  <dcterms:created xsi:type="dcterms:W3CDTF">2010-01-14T07:00:01Z</dcterms:created>
  <dcterms:modified xsi:type="dcterms:W3CDTF">2025-10-15T22:39:20Z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0x0101005EA4CF2E3DEA784BA4B9FB1658AB8341</vt:lpwstr>
  </property>
  <property fmtid="{D5CDD505-2E9C-101B-9397-08002B2CF9AE}" pid="3" name="MediaServiceImageTags">
    <vt:lpwstr/>
  </property>
</Properties>
</file>